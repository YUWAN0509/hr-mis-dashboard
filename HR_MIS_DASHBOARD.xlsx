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0b728e4a1974b7b/Documents/"/>
    </mc:Choice>
  </mc:AlternateContent>
  <xr:revisionPtr revIDLastSave="24" documentId="11_2BA2FDA2177856CEEB3B98154B5DCE3A37C9E4F9" xr6:coauthVersionLast="47" xr6:coauthVersionMax="47" xr10:uidLastSave="{CCF52FEA-59CA-43A9-BC05-CE285A76E19A}"/>
  <bookViews>
    <workbookView xWindow="-108" yWindow="-108" windowWidth="23256" windowHeight="12456" tabRatio="774" activeTab="6" xr2:uid="{00000000-000D-0000-FFFF-FFFF00000000}"/>
  </bookViews>
  <sheets>
    <sheet name="EMPLOYEE MASTER DATA" sheetId="1" r:id="rId1"/>
    <sheet name="DAY ATTENDANCE" sheetId="2" r:id="rId2"/>
    <sheet name="MONTHLY ATTENDANCE SUMMARY" sheetId="3" r:id="rId3"/>
    <sheet name="PAYROLL" sheetId="4" r:id="rId4"/>
    <sheet name="SALARY SLIP" sheetId="5" r:id="rId5"/>
    <sheet name="PIVOTS" sheetId="7" r:id="rId6"/>
    <sheet name="HR MIS DASHBOARD" sheetId="6" r:id="rId7"/>
    <sheet name="READ ME" sheetId="8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7" l="1"/>
  <c r="E21" i="7"/>
  <c r="E20" i="7"/>
  <c r="E19" i="7"/>
  <c r="J9" i="6"/>
  <c r="G9" i="6"/>
  <c r="D9" i="6"/>
  <c r="A9" i="6"/>
  <c r="J5" i="6"/>
  <c r="G5" i="6"/>
  <c r="D5" i="6"/>
  <c r="A5" i="6"/>
  <c r="F23" i="5"/>
  <c r="F21" i="5"/>
  <c r="F20" i="5"/>
  <c r="F19" i="5"/>
  <c r="C12" i="5"/>
  <c r="C11" i="5" a="1"/>
  <c r="C11" i="5" s="1"/>
  <c r="F16" i="5"/>
  <c r="F15" i="5"/>
  <c r="C8" i="5"/>
  <c r="C7" i="5"/>
  <c r="C6" i="5"/>
  <c r="I26" i="4"/>
  <c r="I50" i="4"/>
  <c r="H5" i="4"/>
  <c r="J5" i="4" s="1"/>
  <c r="H6" i="4"/>
  <c r="I6" i="4" s="1"/>
  <c r="H7" i="4"/>
  <c r="J7" i="4" s="1"/>
  <c r="H8" i="4"/>
  <c r="I8" i="4" s="1"/>
  <c r="H9" i="4"/>
  <c r="J9" i="4" s="1"/>
  <c r="H10" i="4"/>
  <c r="I10" i="4" s="1"/>
  <c r="H11" i="4"/>
  <c r="I11" i="4" s="1"/>
  <c r="H12" i="4"/>
  <c r="I12" i="4" s="1"/>
  <c r="H13" i="4"/>
  <c r="I13" i="4" s="1"/>
  <c r="H14" i="4"/>
  <c r="J14" i="4" s="1"/>
  <c r="H15" i="4"/>
  <c r="I15" i="4" s="1"/>
  <c r="H16" i="4"/>
  <c r="I16" i="4" s="1"/>
  <c r="H17" i="4"/>
  <c r="J17" i="4" s="1"/>
  <c r="H18" i="4"/>
  <c r="I18" i="4" s="1"/>
  <c r="H19" i="4"/>
  <c r="J19" i="4" s="1"/>
  <c r="H20" i="4"/>
  <c r="I20" i="4" s="1"/>
  <c r="H21" i="4"/>
  <c r="J21" i="4" s="1"/>
  <c r="H22" i="4"/>
  <c r="I22" i="4" s="1"/>
  <c r="H23" i="4"/>
  <c r="I23" i="4" s="1"/>
  <c r="H24" i="4"/>
  <c r="I24" i="4" s="1"/>
  <c r="H25" i="4"/>
  <c r="I25" i="4" s="1"/>
  <c r="H26" i="4"/>
  <c r="J26" i="4" s="1"/>
  <c r="H27" i="4"/>
  <c r="I27" i="4" s="1"/>
  <c r="H28" i="4"/>
  <c r="I28" i="4" s="1"/>
  <c r="H29" i="4"/>
  <c r="J29" i="4" s="1"/>
  <c r="H30" i="4"/>
  <c r="I30" i="4" s="1"/>
  <c r="H31" i="4"/>
  <c r="J31" i="4" s="1"/>
  <c r="H32" i="4"/>
  <c r="I32" i="4" s="1"/>
  <c r="H33" i="4"/>
  <c r="J33" i="4" s="1"/>
  <c r="H34" i="4"/>
  <c r="I34" i="4" s="1"/>
  <c r="H35" i="4"/>
  <c r="I35" i="4" s="1"/>
  <c r="H36" i="4"/>
  <c r="I36" i="4" s="1"/>
  <c r="H37" i="4"/>
  <c r="I37" i="4" s="1"/>
  <c r="H38" i="4"/>
  <c r="J38" i="4" s="1"/>
  <c r="H39" i="4"/>
  <c r="I39" i="4" s="1"/>
  <c r="H40" i="4"/>
  <c r="I40" i="4" s="1"/>
  <c r="H41" i="4"/>
  <c r="J41" i="4" s="1"/>
  <c r="H42" i="4"/>
  <c r="I42" i="4" s="1"/>
  <c r="H43" i="4"/>
  <c r="J43" i="4" s="1"/>
  <c r="H44" i="4"/>
  <c r="I44" i="4" s="1"/>
  <c r="H45" i="4"/>
  <c r="J45" i="4" s="1"/>
  <c r="H46" i="4"/>
  <c r="I46" i="4" s="1"/>
  <c r="H47" i="4"/>
  <c r="I47" i="4" s="1"/>
  <c r="H48" i="4"/>
  <c r="I48" i="4" s="1"/>
  <c r="H49" i="4"/>
  <c r="I49" i="4" s="1"/>
  <c r="H50" i="4"/>
  <c r="J50" i="4" s="1"/>
  <c r="H51" i="4"/>
  <c r="I51" i="4" s="1"/>
  <c r="H52" i="4"/>
  <c r="I52" i="4" s="1"/>
  <c r="H53" i="4"/>
  <c r="J53" i="4" s="1"/>
  <c r="H54" i="4"/>
  <c r="I54" i="4" s="1"/>
  <c r="H55" i="4"/>
  <c r="J55" i="4" s="1"/>
  <c r="H56" i="4"/>
  <c r="I56" i="4" s="1"/>
  <c r="H57" i="4"/>
  <c r="J57" i="4" s="1"/>
  <c r="H58" i="4"/>
  <c r="I58" i="4" s="1"/>
  <c r="H59" i="4"/>
  <c r="I59" i="4" s="1"/>
  <c r="H60" i="4"/>
  <c r="I60" i="4" s="1"/>
  <c r="H61" i="4"/>
  <c r="I61" i="4" s="1"/>
  <c r="H62" i="4"/>
  <c r="J62" i="4" s="1"/>
  <c r="H63" i="4"/>
  <c r="I63" i="4" s="1"/>
  <c r="H64" i="4"/>
  <c r="I64" i="4" s="1"/>
  <c r="H65" i="4"/>
  <c r="J65" i="4" s="1"/>
  <c r="H66" i="4"/>
  <c r="I66" i="4" s="1"/>
  <c r="H67" i="4"/>
  <c r="J67" i="4" s="1"/>
  <c r="H68" i="4"/>
  <c r="I68" i="4" s="1"/>
  <c r="H69" i="4"/>
  <c r="J69" i="4" s="1"/>
  <c r="H70" i="4"/>
  <c r="I70" i="4" s="1"/>
  <c r="H71" i="4"/>
  <c r="I71" i="4" s="1"/>
  <c r="H72" i="4"/>
  <c r="I72" i="4" s="1"/>
  <c r="H73" i="4"/>
  <c r="I73" i="4" s="1"/>
  <c r="H74" i="4"/>
  <c r="J74" i="4" s="1"/>
  <c r="H75" i="4"/>
  <c r="I75" i="4" s="1"/>
  <c r="H76" i="4"/>
  <c r="I76" i="4" s="1"/>
  <c r="H77" i="4"/>
  <c r="J77" i="4" s="1"/>
  <c r="H78" i="4"/>
  <c r="I78" i="4" s="1"/>
  <c r="H79" i="4"/>
  <c r="J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I87" i="4" s="1"/>
  <c r="H88" i="4"/>
  <c r="I88" i="4" s="1"/>
  <c r="H89" i="4"/>
  <c r="J89" i="4" s="1"/>
  <c r="H90" i="4"/>
  <c r="I90" i="4" s="1"/>
  <c r="H91" i="4"/>
  <c r="J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J101" i="4" s="1"/>
  <c r="H102" i="4"/>
  <c r="I102" i="4" s="1"/>
  <c r="H103" i="4"/>
  <c r="J103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J113" i="4" s="1"/>
  <c r="H114" i="4"/>
  <c r="I114" i="4" s="1"/>
  <c r="H115" i="4"/>
  <c r="J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J125" i="4" s="1"/>
  <c r="H126" i="4"/>
  <c r="I126" i="4" s="1"/>
  <c r="H127" i="4"/>
  <c r="J127" i="4" s="1"/>
  <c r="H128" i="4"/>
  <c r="I128" i="4" s="1"/>
  <c r="H129" i="4"/>
  <c r="I129" i="4" s="1"/>
  <c r="H130" i="4"/>
  <c r="I130" i="4" s="1"/>
  <c r="H131" i="4"/>
  <c r="I131" i="4" s="1"/>
  <c r="H132" i="4"/>
  <c r="I132" i="4" s="1"/>
  <c r="H133" i="4"/>
  <c r="I133" i="4" s="1"/>
  <c r="H134" i="4"/>
  <c r="I134" i="4" s="1"/>
  <c r="H135" i="4"/>
  <c r="I135" i="4" s="1"/>
  <c r="H136" i="4"/>
  <c r="I136" i="4" s="1"/>
  <c r="H137" i="4"/>
  <c r="J137" i="4" s="1"/>
  <c r="H138" i="4"/>
  <c r="I138" i="4" s="1"/>
  <c r="H139" i="4"/>
  <c r="J139" i="4" s="1"/>
  <c r="H140" i="4"/>
  <c r="I140" i="4" s="1"/>
  <c r="H141" i="4"/>
  <c r="I141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 s="1"/>
  <c r="H148" i="4"/>
  <c r="I148" i="4" s="1"/>
  <c r="H149" i="4"/>
  <c r="J149" i="4" s="1"/>
  <c r="H150" i="4"/>
  <c r="I150" i="4" s="1"/>
  <c r="H151" i="4"/>
  <c r="J151" i="4" s="1"/>
  <c r="H152" i="4"/>
  <c r="I152" i="4" s="1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59" i="4"/>
  <c r="I159" i="4" s="1"/>
  <c r="H160" i="4"/>
  <c r="I160" i="4" s="1"/>
  <c r="H161" i="4"/>
  <c r="J161" i="4" s="1"/>
  <c r="H162" i="4"/>
  <c r="I162" i="4" s="1"/>
  <c r="H163" i="4"/>
  <c r="J163" i="4" s="1"/>
  <c r="H164" i="4"/>
  <c r="I164" i="4" s="1"/>
  <c r="H165" i="4"/>
  <c r="I165" i="4" s="1"/>
  <c r="H166" i="4"/>
  <c r="I166" i="4" s="1"/>
  <c r="H167" i="4"/>
  <c r="I167" i="4" s="1"/>
  <c r="H168" i="4"/>
  <c r="I168" i="4" s="1"/>
  <c r="H169" i="4"/>
  <c r="I169" i="4" s="1"/>
  <c r="H170" i="4"/>
  <c r="I170" i="4" s="1"/>
  <c r="H171" i="4"/>
  <c r="I171" i="4" s="1"/>
  <c r="H172" i="4"/>
  <c r="I172" i="4" s="1"/>
  <c r="H173" i="4"/>
  <c r="J173" i="4" s="1"/>
  <c r="H174" i="4"/>
  <c r="I174" i="4" s="1"/>
  <c r="H175" i="4"/>
  <c r="J175" i="4" s="1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I182" i="4" s="1"/>
  <c r="H183" i="4"/>
  <c r="I183" i="4" s="1"/>
  <c r="H184" i="4"/>
  <c r="I184" i="4" s="1"/>
  <c r="H185" i="4"/>
  <c r="J185" i="4" s="1"/>
  <c r="H186" i="4"/>
  <c r="I186" i="4" s="1"/>
  <c r="H187" i="4"/>
  <c r="J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 s="1"/>
  <c r="H196" i="4"/>
  <c r="I196" i="4" s="1"/>
  <c r="H197" i="4"/>
  <c r="J197" i="4" s="1"/>
  <c r="H198" i="4"/>
  <c r="I198" i="4" s="1"/>
  <c r="H199" i="4"/>
  <c r="J199" i="4" s="1"/>
  <c r="H200" i="4"/>
  <c r="I200" i="4" s="1"/>
  <c r="H201" i="4"/>
  <c r="I201" i="4" s="1"/>
  <c r="H202" i="4"/>
  <c r="I202" i="4" s="1"/>
  <c r="H203" i="4"/>
  <c r="I203" i="4" s="1"/>
  <c r="H204" i="4"/>
  <c r="I204" i="4" s="1"/>
  <c r="H205" i="4"/>
  <c r="I205" i="4" s="1"/>
  <c r="H206" i="4"/>
  <c r="I206" i="4" s="1"/>
  <c r="H207" i="4"/>
  <c r="I207" i="4" s="1"/>
  <c r="H208" i="4"/>
  <c r="I208" i="4" s="1"/>
  <c r="H209" i="4"/>
  <c r="J209" i="4" s="1"/>
  <c r="H210" i="4"/>
  <c r="I210" i="4" s="1"/>
  <c r="H211" i="4"/>
  <c r="J211" i="4" s="1"/>
  <c r="H212" i="4"/>
  <c r="I212" i="4" s="1"/>
  <c r="H213" i="4"/>
  <c r="I213" i="4" s="1"/>
  <c r="H214" i="4"/>
  <c r="I214" i="4" s="1"/>
  <c r="H215" i="4"/>
  <c r="I215" i="4" s="1"/>
  <c r="H216" i="4"/>
  <c r="I216" i="4" s="1"/>
  <c r="H217" i="4"/>
  <c r="I217" i="4" s="1"/>
  <c r="H218" i="4"/>
  <c r="I218" i="4" s="1"/>
  <c r="H219" i="4"/>
  <c r="I219" i="4" s="1"/>
  <c r="H220" i="4"/>
  <c r="I220" i="4" s="1"/>
  <c r="H221" i="4"/>
  <c r="J221" i="4" s="1"/>
  <c r="H222" i="4"/>
  <c r="I222" i="4" s="1"/>
  <c r="H223" i="4"/>
  <c r="J223" i="4" s="1"/>
  <c r="H224" i="4"/>
  <c r="I224" i="4" s="1"/>
  <c r="H225" i="4"/>
  <c r="I225" i="4" s="1"/>
  <c r="H226" i="4"/>
  <c r="I226" i="4" s="1"/>
  <c r="H227" i="4"/>
  <c r="I227" i="4" s="1"/>
  <c r="H228" i="4"/>
  <c r="I228" i="4" s="1"/>
  <c r="H229" i="4"/>
  <c r="I229" i="4" s="1"/>
  <c r="H230" i="4"/>
  <c r="I230" i="4" s="1"/>
  <c r="H231" i="4"/>
  <c r="I231" i="4" s="1"/>
  <c r="H232" i="4"/>
  <c r="I232" i="4" s="1"/>
  <c r="H233" i="4"/>
  <c r="J233" i="4" s="1"/>
  <c r="H234" i="4"/>
  <c r="I234" i="4" s="1"/>
  <c r="H235" i="4"/>
  <c r="J235" i="4" s="1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I243" i="4" s="1"/>
  <c r="H244" i="4"/>
  <c r="I244" i="4" s="1"/>
  <c r="H245" i="4"/>
  <c r="J245" i="4" s="1"/>
  <c r="H246" i="4"/>
  <c r="I246" i="4" s="1"/>
  <c r="H247" i="4"/>
  <c r="J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J257" i="4" s="1"/>
  <c r="H258" i="4"/>
  <c r="I258" i="4" s="1"/>
  <c r="H259" i="4"/>
  <c r="J259" i="4" s="1"/>
  <c r="H260" i="4"/>
  <c r="I260" i="4" s="1"/>
  <c r="H261" i="4"/>
  <c r="I261" i="4" s="1"/>
  <c r="H262" i="4"/>
  <c r="I262" i="4" s="1"/>
  <c r="H263" i="4"/>
  <c r="I263" i="4" s="1"/>
  <c r="H264" i="4"/>
  <c r="I264" i="4" s="1"/>
  <c r="H265" i="4"/>
  <c r="I265" i="4" s="1"/>
  <c r="H266" i="4"/>
  <c r="I266" i="4" s="1"/>
  <c r="H267" i="4"/>
  <c r="I267" i="4" s="1"/>
  <c r="H268" i="4"/>
  <c r="I268" i="4" s="1"/>
  <c r="H269" i="4"/>
  <c r="J269" i="4" s="1"/>
  <c r="H270" i="4"/>
  <c r="I270" i="4" s="1"/>
  <c r="H271" i="4"/>
  <c r="J271" i="4" s="1"/>
  <c r="H272" i="4"/>
  <c r="I272" i="4" s="1"/>
  <c r="H273" i="4"/>
  <c r="I273" i="4" s="1"/>
  <c r="H274" i="4"/>
  <c r="I274" i="4" s="1"/>
  <c r="H275" i="4"/>
  <c r="I275" i="4" s="1"/>
  <c r="H276" i="4"/>
  <c r="I276" i="4" s="1"/>
  <c r="H277" i="4"/>
  <c r="I277" i="4" s="1"/>
  <c r="H278" i="4"/>
  <c r="I278" i="4" s="1"/>
  <c r="H279" i="4"/>
  <c r="I279" i="4" s="1"/>
  <c r="H280" i="4"/>
  <c r="I280" i="4" s="1"/>
  <c r="H281" i="4"/>
  <c r="J281" i="4" s="1"/>
  <c r="H282" i="4"/>
  <c r="I282" i="4" s="1"/>
  <c r="H283" i="4"/>
  <c r="J283" i="4" s="1"/>
  <c r="H284" i="4"/>
  <c r="I284" i="4" s="1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90" i="4" s="1"/>
  <c r="H291" i="4"/>
  <c r="I291" i="4" s="1"/>
  <c r="H292" i="4"/>
  <c r="I292" i="4" s="1"/>
  <c r="H293" i="4"/>
  <c r="J293" i="4" s="1"/>
  <c r="H294" i="4"/>
  <c r="I294" i="4" s="1"/>
  <c r="H295" i="4"/>
  <c r="J295" i="4" s="1"/>
  <c r="H296" i="4"/>
  <c r="I296" i="4" s="1"/>
  <c r="H297" i="4"/>
  <c r="I297" i="4" s="1"/>
  <c r="H298" i="4"/>
  <c r="I298" i="4" s="1"/>
  <c r="H299" i="4"/>
  <c r="I299" i="4" s="1"/>
  <c r="H300" i="4"/>
  <c r="I300" i="4" s="1"/>
  <c r="H301" i="4"/>
  <c r="I301" i="4" s="1"/>
  <c r="H302" i="4"/>
  <c r="I302" i="4" s="1"/>
  <c r="H303" i="4"/>
  <c r="I303" i="4" s="1"/>
  <c r="H5" i="3"/>
  <c r="H7" i="3"/>
  <c r="E8" i="3"/>
  <c r="H9" i="3"/>
  <c r="H11" i="3"/>
  <c r="E12" i="3"/>
  <c r="H14" i="3"/>
  <c r="E17" i="3"/>
  <c r="E18" i="3"/>
  <c r="H19" i="3"/>
  <c r="H21" i="3"/>
  <c r="H24" i="3"/>
  <c r="H26" i="3"/>
  <c r="H27" i="3"/>
  <c r="H29" i="3"/>
  <c r="H30" i="3"/>
  <c r="H31" i="3"/>
  <c r="H32" i="3"/>
  <c r="H33" i="3"/>
  <c r="E35" i="3"/>
  <c r="E36" i="3"/>
  <c r="H38" i="3"/>
  <c r="E39" i="3"/>
  <c r="E41" i="3"/>
  <c r="E42" i="3"/>
  <c r="E43" i="3"/>
  <c r="H44" i="3"/>
  <c r="H45" i="3"/>
  <c r="H46" i="3"/>
  <c r="H47" i="3"/>
  <c r="H48" i="3"/>
  <c r="H50" i="3"/>
  <c r="H51" i="3"/>
  <c r="H52" i="3"/>
  <c r="H53" i="3"/>
  <c r="E55" i="3"/>
  <c r="H56" i="3"/>
  <c r="H57" i="3"/>
  <c r="E58" i="3"/>
  <c r="E59" i="3"/>
  <c r="E60" i="3"/>
  <c r="H62" i="3"/>
  <c r="E63" i="3"/>
  <c r="H65" i="3"/>
  <c r="H66" i="3"/>
  <c r="H68" i="3"/>
  <c r="E70" i="3"/>
  <c r="E71" i="3"/>
  <c r="H72" i="3"/>
  <c r="H74" i="3"/>
  <c r="H77" i="3"/>
  <c r="E78" i="3"/>
  <c r="E80" i="3"/>
  <c r="H83" i="3"/>
  <c r="H84" i="3"/>
  <c r="H86" i="3"/>
  <c r="E87" i="3"/>
  <c r="H89" i="3"/>
  <c r="H91" i="3"/>
  <c r="E92" i="3"/>
  <c r="E94" i="3"/>
  <c r="H95" i="3"/>
  <c r="E96" i="3"/>
  <c r="E98" i="3"/>
  <c r="E99" i="3"/>
  <c r="H101" i="3"/>
  <c r="H102" i="3"/>
  <c r="H103" i="3"/>
  <c r="H104" i="3"/>
  <c r="H105" i="3"/>
  <c r="H108" i="3"/>
  <c r="E110" i="3"/>
  <c r="E111" i="3"/>
  <c r="E113" i="3"/>
  <c r="E114" i="3"/>
  <c r="E115" i="3"/>
  <c r="E116" i="3"/>
  <c r="H118" i="3"/>
  <c r="E119" i="3"/>
  <c r="E120" i="3"/>
  <c r="H125" i="3"/>
  <c r="H126" i="3"/>
  <c r="H127" i="3"/>
  <c r="H128" i="3"/>
  <c r="H131" i="3"/>
  <c r="H132" i="3"/>
  <c r="H133" i="3"/>
  <c r="H135" i="3"/>
  <c r="H137" i="3"/>
  <c r="H138" i="3"/>
  <c r="H139" i="3"/>
  <c r="H140" i="3"/>
  <c r="H142" i="3"/>
  <c r="E143" i="3"/>
  <c r="E144" i="3"/>
  <c r="H145" i="3"/>
  <c r="H147" i="3"/>
  <c r="E149" i="3"/>
  <c r="H151" i="3"/>
  <c r="H152" i="3"/>
  <c r="E155" i="3"/>
  <c r="H156" i="3"/>
  <c r="E157" i="3"/>
  <c r="H158" i="3"/>
  <c r="E161" i="3"/>
  <c r="H162" i="3"/>
  <c r="E163" i="3"/>
  <c r="H164" i="3"/>
  <c r="H165" i="3"/>
  <c r="H166" i="3"/>
  <c r="H168" i="3"/>
  <c r="E169" i="3"/>
  <c r="H170" i="3"/>
  <c r="E171" i="3"/>
  <c r="H173" i="3"/>
  <c r="E174" i="3"/>
  <c r="H176" i="3"/>
  <c r="E177" i="3"/>
  <c r="H180" i="3"/>
  <c r="E181" i="3"/>
  <c r="H182" i="3"/>
  <c r="E184" i="3"/>
  <c r="H185" i="3"/>
  <c r="H186" i="3"/>
  <c r="H187" i="3"/>
  <c r="E188" i="3"/>
  <c r="H190" i="3"/>
  <c r="E192" i="3"/>
  <c r="E193" i="3"/>
  <c r="H194" i="3"/>
  <c r="H195" i="3"/>
  <c r="H197" i="3"/>
  <c r="E198" i="3"/>
  <c r="E200" i="3"/>
  <c r="E201" i="3"/>
  <c r="H204" i="3"/>
  <c r="E205" i="3"/>
  <c r="H207" i="3"/>
  <c r="H209" i="3"/>
  <c r="E210" i="3"/>
  <c r="E212" i="3"/>
  <c r="H214" i="3"/>
  <c r="E216" i="3"/>
  <c r="E217" i="3"/>
  <c r="E219" i="3"/>
  <c r="E220" i="3"/>
  <c r="E221" i="3"/>
  <c r="E222" i="3"/>
  <c r="H223" i="3"/>
  <c r="H224" i="3"/>
  <c r="H225" i="3"/>
  <c r="H227" i="3"/>
  <c r="H228" i="3"/>
  <c r="E229" i="3"/>
  <c r="E231" i="3"/>
  <c r="H233" i="3"/>
  <c r="E234" i="3"/>
  <c r="H235" i="3"/>
  <c r="H236" i="3"/>
  <c r="H238" i="3"/>
  <c r="H239" i="3"/>
  <c r="E240" i="3"/>
  <c r="E241" i="3"/>
  <c r="H243" i="3"/>
  <c r="H245" i="3"/>
  <c r="E246" i="3"/>
  <c r="E248" i="3"/>
  <c r="H249" i="3"/>
  <c r="H252" i="3"/>
  <c r="E253" i="3"/>
  <c r="E257" i="3"/>
  <c r="H258" i="3"/>
  <c r="H259" i="3"/>
  <c r="H260" i="3"/>
  <c r="H261" i="3"/>
  <c r="E262" i="3"/>
  <c r="E263" i="3"/>
  <c r="E264" i="3"/>
  <c r="E265" i="3"/>
  <c r="H267" i="3"/>
  <c r="H269" i="3"/>
  <c r="E270" i="3"/>
  <c r="H271" i="3"/>
  <c r="E272" i="3"/>
  <c r="E274" i="3"/>
  <c r="H275" i="3"/>
  <c r="H276" i="3"/>
  <c r="E277" i="3"/>
  <c r="E279" i="3"/>
  <c r="H281" i="3"/>
  <c r="H282" i="3"/>
  <c r="H283" i="3"/>
  <c r="E284" i="3"/>
  <c r="H286" i="3"/>
  <c r="H287" i="3"/>
  <c r="E288" i="3"/>
  <c r="E289" i="3"/>
  <c r="H293" i="3"/>
  <c r="H294" i="3"/>
  <c r="H295" i="3"/>
  <c r="H296" i="3"/>
  <c r="H297" i="3"/>
  <c r="H300" i="3"/>
  <c r="E301" i="3"/>
  <c r="E3" i="3"/>
  <c r="H54" i="3"/>
  <c r="H90" i="3"/>
  <c r="H114" i="3"/>
  <c r="H150" i="3"/>
  <c r="H251" i="3"/>
  <c r="E23" i="3"/>
  <c r="H6" i="3"/>
  <c r="H22" i="3"/>
  <c r="H20" i="3"/>
  <c r="E56" i="3"/>
  <c r="E106" i="3"/>
  <c r="A4" i="4" a="1"/>
  <c r="E82" i="4" s="1"/>
  <c r="A3" i="3" a="1"/>
  <c r="A3" i="3" s="1"/>
  <c r="C3" i="3" s="1"/>
  <c r="H4" i="3"/>
  <c r="H93" i="3"/>
  <c r="H116" i="3"/>
  <c r="H117" i="3"/>
  <c r="H153" i="3"/>
  <c r="H177" i="3"/>
  <c r="H188" i="3"/>
  <c r="H189" i="3"/>
  <c r="H210" i="3"/>
  <c r="H237" i="3"/>
  <c r="H248" i="3"/>
  <c r="H284" i="3"/>
  <c r="A3" i="2" a="1"/>
  <c r="A3" i="2" s="1"/>
  <c r="H3" i="2"/>
  <c r="I3" i="2"/>
  <c r="J3" i="2"/>
  <c r="K3" i="2"/>
  <c r="H4" i="2"/>
  <c r="I4" i="2"/>
  <c r="J4" i="2"/>
  <c r="K4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1" i="2"/>
  <c r="I61" i="2"/>
  <c r="J61" i="2"/>
  <c r="K61" i="2"/>
  <c r="H62" i="2"/>
  <c r="I62" i="2"/>
  <c r="J62" i="2"/>
  <c r="K62" i="2"/>
  <c r="H63" i="2"/>
  <c r="I63" i="2"/>
  <c r="J63" i="2"/>
  <c r="K63" i="2"/>
  <c r="H64" i="2"/>
  <c r="I64" i="2"/>
  <c r="J64" i="2"/>
  <c r="K64" i="2"/>
  <c r="H65" i="2"/>
  <c r="I65" i="2"/>
  <c r="J65" i="2"/>
  <c r="K65" i="2"/>
  <c r="H66" i="2"/>
  <c r="I66" i="2"/>
  <c r="J66" i="2"/>
  <c r="K66" i="2"/>
  <c r="H67" i="2"/>
  <c r="I67" i="2"/>
  <c r="J67" i="2"/>
  <c r="K67" i="2"/>
  <c r="H68" i="2"/>
  <c r="I68" i="2"/>
  <c r="J68" i="2"/>
  <c r="K68" i="2"/>
  <c r="H69" i="2"/>
  <c r="I69" i="2"/>
  <c r="J69" i="2"/>
  <c r="K69" i="2"/>
  <c r="H70" i="2"/>
  <c r="I70" i="2"/>
  <c r="J70" i="2"/>
  <c r="K70" i="2"/>
  <c r="H71" i="2"/>
  <c r="I71" i="2"/>
  <c r="J71" i="2"/>
  <c r="K71" i="2"/>
  <c r="H72" i="2"/>
  <c r="I72" i="2"/>
  <c r="J72" i="2"/>
  <c r="K72" i="2"/>
  <c r="H73" i="2"/>
  <c r="I73" i="2"/>
  <c r="J73" i="2"/>
  <c r="K73" i="2"/>
  <c r="H74" i="2"/>
  <c r="I74" i="2"/>
  <c r="J74" i="2"/>
  <c r="K74" i="2"/>
  <c r="H75" i="2"/>
  <c r="I75" i="2"/>
  <c r="J75" i="2"/>
  <c r="K75" i="2"/>
  <c r="H76" i="2"/>
  <c r="I76" i="2"/>
  <c r="J76" i="2"/>
  <c r="K76" i="2"/>
  <c r="H77" i="2"/>
  <c r="I77" i="2"/>
  <c r="J77" i="2"/>
  <c r="K77" i="2"/>
  <c r="H78" i="2"/>
  <c r="I78" i="2"/>
  <c r="J78" i="2"/>
  <c r="K78" i="2"/>
  <c r="H79" i="2"/>
  <c r="I79" i="2"/>
  <c r="J79" i="2"/>
  <c r="K79" i="2"/>
  <c r="H80" i="2"/>
  <c r="I80" i="2"/>
  <c r="J80" i="2"/>
  <c r="K80" i="2"/>
  <c r="H81" i="2"/>
  <c r="I81" i="2"/>
  <c r="J81" i="2"/>
  <c r="K81" i="2"/>
  <c r="H82" i="2"/>
  <c r="I82" i="2"/>
  <c r="J82" i="2"/>
  <c r="K82" i="2"/>
  <c r="H83" i="2"/>
  <c r="I83" i="2"/>
  <c r="J83" i="2"/>
  <c r="K83" i="2"/>
  <c r="H84" i="2"/>
  <c r="I84" i="2"/>
  <c r="J84" i="2"/>
  <c r="K84" i="2"/>
  <c r="H85" i="2"/>
  <c r="I85" i="2"/>
  <c r="J85" i="2"/>
  <c r="K85" i="2"/>
  <c r="H86" i="2"/>
  <c r="I86" i="2"/>
  <c r="J86" i="2"/>
  <c r="K86" i="2"/>
  <c r="H87" i="2"/>
  <c r="I87" i="2"/>
  <c r="J87" i="2"/>
  <c r="K87" i="2"/>
  <c r="H88" i="2"/>
  <c r="I88" i="2"/>
  <c r="J88" i="2"/>
  <c r="K88" i="2"/>
  <c r="H89" i="2"/>
  <c r="I89" i="2"/>
  <c r="J89" i="2"/>
  <c r="K89" i="2"/>
  <c r="H90" i="2"/>
  <c r="I90" i="2"/>
  <c r="J90" i="2"/>
  <c r="K90" i="2"/>
  <c r="H91" i="2"/>
  <c r="I91" i="2"/>
  <c r="J91" i="2"/>
  <c r="K91" i="2"/>
  <c r="H92" i="2"/>
  <c r="I92" i="2"/>
  <c r="J92" i="2"/>
  <c r="K92" i="2"/>
  <c r="H93" i="2"/>
  <c r="I93" i="2"/>
  <c r="J93" i="2"/>
  <c r="K93" i="2"/>
  <c r="H94" i="2"/>
  <c r="I94" i="2"/>
  <c r="J94" i="2"/>
  <c r="K94" i="2"/>
  <c r="H95" i="2"/>
  <c r="I95" i="2"/>
  <c r="J95" i="2"/>
  <c r="K95" i="2"/>
  <c r="H96" i="2"/>
  <c r="I96" i="2"/>
  <c r="J96" i="2"/>
  <c r="K96" i="2"/>
  <c r="H97" i="2"/>
  <c r="I97" i="2"/>
  <c r="J97" i="2"/>
  <c r="K97" i="2"/>
  <c r="H98" i="2"/>
  <c r="I98" i="2"/>
  <c r="J98" i="2"/>
  <c r="K98" i="2"/>
  <c r="H99" i="2"/>
  <c r="I99" i="2"/>
  <c r="J99" i="2"/>
  <c r="K99" i="2"/>
  <c r="H100" i="2"/>
  <c r="I100" i="2"/>
  <c r="J100" i="2"/>
  <c r="K100" i="2"/>
  <c r="H101" i="2"/>
  <c r="I101" i="2"/>
  <c r="J101" i="2"/>
  <c r="K101" i="2"/>
  <c r="H102" i="2"/>
  <c r="I102" i="2"/>
  <c r="J102" i="2"/>
  <c r="K102" i="2"/>
  <c r="H103" i="2"/>
  <c r="I103" i="2"/>
  <c r="J103" i="2"/>
  <c r="K103" i="2"/>
  <c r="H104" i="2"/>
  <c r="I104" i="2"/>
  <c r="J104" i="2"/>
  <c r="K104" i="2"/>
  <c r="H105" i="2"/>
  <c r="I105" i="2"/>
  <c r="J105" i="2"/>
  <c r="K105" i="2"/>
  <c r="H106" i="2"/>
  <c r="I106" i="2"/>
  <c r="J106" i="2"/>
  <c r="K106" i="2"/>
  <c r="H107" i="2"/>
  <c r="I107" i="2"/>
  <c r="J107" i="2"/>
  <c r="K107" i="2"/>
  <c r="H108" i="2"/>
  <c r="I108" i="2"/>
  <c r="J108" i="2"/>
  <c r="K108" i="2"/>
  <c r="H109" i="2"/>
  <c r="I109" i="2"/>
  <c r="J109" i="2"/>
  <c r="K109" i="2"/>
  <c r="H110" i="2"/>
  <c r="I110" i="2"/>
  <c r="J110" i="2"/>
  <c r="K110" i="2"/>
  <c r="H111" i="2"/>
  <c r="I111" i="2"/>
  <c r="J111" i="2"/>
  <c r="K111" i="2"/>
  <c r="H112" i="2"/>
  <c r="I112" i="2"/>
  <c r="J112" i="2"/>
  <c r="K112" i="2"/>
  <c r="H113" i="2"/>
  <c r="I113" i="2"/>
  <c r="J113" i="2"/>
  <c r="K113" i="2"/>
  <c r="H114" i="2"/>
  <c r="I114" i="2"/>
  <c r="J114" i="2"/>
  <c r="K114" i="2"/>
  <c r="H115" i="2"/>
  <c r="I115" i="2"/>
  <c r="J115" i="2"/>
  <c r="K115" i="2"/>
  <c r="H116" i="2"/>
  <c r="I116" i="2"/>
  <c r="J116" i="2"/>
  <c r="K116" i="2"/>
  <c r="H117" i="2"/>
  <c r="I117" i="2"/>
  <c r="J117" i="2"/>
  <c r="K117" i="2"/>
  <c r="H118" i="2"/>
  <c r="I118" i="2"/>
  <c r="J118" i="2"/>
  <c r="K118" i="2"/>
  <c r="H119" i="2"/>
  <c r="I119" i="2"/>
  <c r="J119" i="2"/>
  <c r="K119" i="2"/>
  <c r="H120" i="2"/>
  <c r="I120" i="2"/>
  <c r="J120" i="2"/>
  <c r="K120" i="2"/>
  <c r="H121" i="2"/>
  <c r="I121" i="2"/>
  <c r="J121" i="2"/>
  <c r="K121" i="2"/>
  <c r="H122" i="2"/>
  <c r="I122" i="2"/>
  <c r="J122" i="2"/>
  <c r="K122" i="2"/>
  <c r="H123" i="2"/>
  <c r="I123" i="2"/>
  <c r="J123" i="2"/>
  <c r="K123" i="2"/>
  <c r="H124" i="2"/>
  <c r="I124" i="2"/>
  <c r="J124" i="2"/>
  <c r="K124" i="2"/>
  <c r="H125" i="2"/>
  <c r="I125" i="2"/>
  <c r="J125" i="2"/>
  <c r="K125" i="2"/>
  <c r="H126" i="2"/>
  <c r="I126" i="2"/>
  <c r="J126" i="2"/>
  <c r="K126" i="2"/>
  <c r="H127" i="2"/>
  <c r="I127" i="2"/>
  <c r="J127" i="2"/>
  <c r="K127" i="2"/>
  <c r="H128" i="2"/>
  <c r="I128" i="2"/>
  <c r="J128" i="2"/>
  <c r="K128" i="2"/>
  <c r="H129" i="2"/>
  <c r="I129" i="2"/>
  <c r="J129" i="2"/>
  <c r="K129" i="2"/>
  <c r="H130" i="2"/>
  <c r="I130" i="2"/>
  <c r="J130" i="2"/>
  <c r="K130" i="2"/>
  <c r="H131" i="2"/>
  <c r="I131" i="2"/>
  <c r="J131" i="2"/>
  <c r="K131" i="2"/>
  <c r="H132" i="2"/>
  <c r="I132" i="2"/>
  <c r="J132" i="2"/>
  <c r="K132" i="2"/>
  <c r="H133" i="2"/>
  <c r="I133" i="2"/>
  <c r="J133" i="2"/>
  <c r="K133" i="2"/>
  <c r="H134" i="2"/>
  <c r="I134" i="2"/>
  <c r="J134" i="2"/>
  <c r="K134" i="2"/>
  <c r="H135" i="2"/>
  <c r="I135" i="2"/>
  <c r="J135" i="2"/>
  <c r="K135" i="2"/>
  <c r="H136" i="2"/>
  <c r="I136" i="2"/>
  <c r="J136" i="2"/>
  <c r="K136" i="2"/>
  <c r="H137" i="2"/>
  <c r="I137" i="2"/>
  <c r="J137" i="2"/>
  <c r="K137" i="2"/>
  <c r="H138" i="2"/>
  <c r="I138" i="2"/>
  <c r="J138" i="2"/>
  <c r="K138" i="2"/>
  <c r="H139" i="2"/>
  <c r="I139" i="2"/>
  <c r="J139" i="2"/>
  <c r="K139" i="2"/>
  <c r="H140" i="2"/>
  <c r="I140" i="2"/>
  <c r="J140" i="2"/>
  <c r="K140" i="2"/>
  <c r="H141" i="2"/>
  <c r="I141" i="2"/>
  <c r="J141" i="2"/>
  <c r="K141" i="2"/>
  <c r="H142" i="2"/>
  <c r="I142" i="2"/>
  <c r="J142" i="2"/>
  <c r="K142" i="2"/>
  <c r="H143" i="2"/>
  <c r="I143" i="2"/>
  <c r="J143" i="2"/>
  <c r="K143" i="2"/>
  <c r="H144" i="2"/>
  <c r="I144" i="2"/>
  <c r="J144" i="2"/>
  <c r="K144" i="2"/>
  <c r="H145" i="2"/>
  <c r="I145" i="2"/>
  <c r="J145" i="2"/>
  <c r="K145" i="2"/>
  <c r="H146" i="2"/>
  <c r="I146" i="2"/>
  <c r="J146" i="2"/>
  <c r="K146" i="2"/>
  <c r="H147" i="2"/>
  <c r="I147" i="2"/>
  <c r="J147" i="2"/>
  <c r="K147" i="2"/>
  <c r="H148" i="2"/>
  <c r="I148" i="2"/>
  <c r="J148" i="2"/>
  <c r="K148" i="2"/>
  <c r="H149" i="2"/>
  <c r="I149" i="2"/>
  <c r="J149" i="2"/>
  <c r="K149" i="2"/>
  <c r="H150" i="2"/>
  <c r="I150" i="2"/>
  <c r="J150" i="2"/>
  <c r="K150" i="2"/>
  <c r="H151" i="2"/>
  <c r="I151" i="2"/>
  <c r="J151" i="2"/>
  <c r="K151" i="2"/>
  <c r="H152" i="2"/>
  <c r="I152" i="2"/>
  <c r="J152" i="2"/>
  <c r="K152" i="2"/>
  <c r="H153" i="2"/>
  <c r="I153" i="2"/>
  <c r="J153" i="2"/>
  <c r="K153" i="2"/>
  <c r="H154" i="2"/>
  <c r="I154" i="2"/>
  <c r="J154" i="2"/>
  <c r="K154" i="2"/>
  <c r="H155" i="2"/>
  <c r="I155" i="2"/>
  <c r="J155" i="2"/>
  <c r="K155" i="2"/>
  <c r="H156" i="2"/>
  <c r="I156" i="2"/>
  <c r="J156" i="2"/>
  <c r="K156" i="2"/>
  <c r="H157" i="2"/>
  <c r="I157" i="2"/>
  <c r="J157" i="2"/>
  <c r="K157" i="2"/>
  <c r="H158" i="2"/>
  <c r="I158" i="2"/>
  <c r="J158" i="2"/>
  <c r="K158" i="2"/>
  <c r="H159" i="2"/>
  <c r="I159" i="2"/>
  <c r="J159" i="2"/>
  <c r="K159" i="2"/>
  <c r="H160" i="2"/>
  <c r="I160" i="2"/>
  <c r="J160" i="2"/>
  <c r="K160" i="2"/>
  <c r="H161" i="2"/>
  <c r="I161" i="2"/>
  <c r="J161" i="2"/>
  <c r="K161" i="2"/>
  <c r="H162" i="2"/>
  <c r="I162" i="2"/>
  <c r="J162" i="2"/>
  <c r="K162" i="2"/>
  <c r="H163" i="2"/>
  <c r="I163" i="2"/>
  <c r="J163" i="2"/>
  <c r="K163" i="2"/>
  <c r="H164" i="2"/>
  <c r="I164" i="2"/>
  <c r="J164" i="2"/>
  <c r="K164" i="2"/>
  <c r="H165" i="2"/>
  <c r="I165" i="2"/>
  <c r="J165" i="2"/>
  <c r="K165" i="2"/>
  <c r="H166" i="2"/>
  <c r="I166" i="2"/>
  <c r="J166" i="2"/>
  <c r="K166" i="2"/>
  <c r="H167" i="2"/>
  <c r="I167" i="2"/>
  <c r="J167" i="2"/>
  <c r="K167" i="2"/>
  <c r="H168" i="2"/>
  <c r="I168" i="2"/>
  <c r="J168" i="2"/>
  <c r="K168" i="2"/>
  <c r="H169" i="2"/>
  <c r="I169" i="2"/>
  <c r="J169" i="2"/>
  <c r="K169" i="2"/>
  <c r="H170" i="2"/>
  <c r="I170" i="2"/>
  <c r="J170" i="2"/>
  <c r="K170" i="2"/>
  <c r="H171" i="2"/>
  <c r="I171" i="2"/>
  <c r="J171" i="2"/>
  <c r="K171" i="2"/>
  <c r="H172" i="2"/>
  <c r="I172" i="2"/>
  <c r="J172" i="2"/>
  <c r="K172" i="2"/>
  <c r="H173" i="2"/>
  <c r="I173" i="2"/>
  <c r="J173" i="2"/>
  <c r="K173" i="2"/>
  <c r="H174" i="2"/>
  <c r="I174" i="2"/>
  <c r="J174" i="2"/>
  <c r="K174" i="2"/>
  <c r="H175" i="2"/>
  <c r="I175" i="2"/>
  <c r="J175" i="2"/>
  <c r="K175" i="2"/>
  <c r="H176" i="2"/>
  <c r="I176" i="2"/>
  <c r="J176" i="2"/>
  <c r="K176" i="2"/>
  <c r="H177" i="2"/>
  <c r="I177" i="2"/>
  <c r="J177" i="2"/>
  <c r="K177" i="2"/>
  <c r="H178" i="2"/>
  <c r="I178" i="2"/>
  <c r="J178" i="2"/>
  <c r="K178" i="2"/>
  <c r="H179" i="2"/>
  <c r="I179" i="2"/>
  <c r="J179" i="2"/>
  <c r="K179" i="2"/>
  <c r="H180" i="2"/>
  <c r="I180" i="2"/>
  <c r="J180" i="2"/>
  <c r="K180" i="2"/>
  <c r="H181" i="2"/>
  <c r="I181" i="2"/>
  <c r="J181" i="2"/>
  <c r="K181" i="2"/>
  <c r="H182" i="2"/>
  <c r="I182" i="2"/>
  <c r="J182" i="2"/>
  <c r="K182" i="2"/>
  <c r="H183" i="2"/>
  <c r="I183" i="2"/>
  <c r="J183" i="2"/>
  <c r="K183" i="2"/>
  <c r="H184" i="2"/>
  <c r="I184" i="2"/>
  <c r="J184" i="2"/>
  <c r="K184" i="2"/>
  <c r="H185" i="2"/>
  <c r="I185" i="2"/>
  <c r="J185" i="2"/>
  <c r="K185" i="2"/>
  <c r="H186" i="2"/>
  <c r="I186" i="2"/>
  <c r="J186" i="2"/>
  <c r="K186" i="2"/>
  <c r="H187" i="2"/>
  <c r="I187" i="2"/>
  <c r="J187" i="2"/>
  <c r="K187" i="2"/>
  <c r="H188" i="2"/>
  <c r="I188" i="2"/>
  <c r="J188" i="2"/>
  <c r="K188" i="2"/>
  <c r="H189" i="2"/>
  <c r="I189" i="2"/>
  <c r="J189" i="2"/>
  <c r="K189" i="2"/>
  <c r="H190" i="2"/>
  <c r="I190" i="2"/>
  <c r="J190" i="2"/>
  <c r="K190" i="2"/>
  <c r="H191" i="2"/>
  <c r="I191" i="2"/>
  <c r="J191" i="2"/>
  <c r="K191" i="2"/>
  <c r="H192" i="2"/>
  <c r="I192" i="2"/>
  <c r="J192" i="2"/>
  <c r="K192" i="2"/>
  <c r="H193" i="2"/>
  <c r="I193" i="2"/>
  <c r="J193" i="2"/>
  <c r="K193" i="2"/>
  <c r="H194" i="2"/>
  <c r="I194" i="2"/>
  <c r="J194" i="2"/>
  <c r="K194" i="2"/>
  <c r="H195" i="2"/>
  <c r="I195" i="2"/>
  <c r="J195" i="2"/>
  <c r="K195" i="2"/>
  <c r="H196" i="2"/>
  <c r="I196" i="2"/>
  <c r="J196" i="2"/>
  <c r="K196" i="2"/>
  <c r="H197" i="2"/>
  <c r="I197" i="2"/>
  <c r="J197" i="2"/>
  <c r="K197" i="2"/>
  <c r="H198" i="2"/>
  <c r="I198" i="2"/>
  <c r="J198" i="2"/>
  <c r="K198" i="2"/>
  <c r="H199" i="2"/>
  <c r="I199" i="2"/>
  <c r="J199" i="2"/>
  <c r="K199" i="2"/>
  <c r="H200" i="2"/>
  <c r="I200" i="2"/>
  <c r="J200" i="2"/>
  <c r="K200" i="2"/>
  <c r="H201" i="2"/>
  <c r="I201" i="2"/>
  <c r="J201" i="2"/>
  <c r="K201" i="2"/>
  <c r="H202" i="2"/>
  <c r="I202" i="2"/>
  <c r="J202" i="2"/>
  <c r="K202" i="2"/>
  <c r="H203" i="2"/>
  <c r="I203" i="2"/>
  <c r="J203" i="2"/>
  <c r="K203" i="2"/>
  <c r="H204" i="2"/>
  <c r="I204" i="2"/>
  <c r="J204" i="2"/>
  <c r="K204" i="2"/>
  <c r="H205" i="2"/>
  <c r="I205" i="2"/>
  <c r="J205" i="2"/>
  <c r="K205" i="2"/>
  <c r="H206" i="2"/>
  <c r="I206" i="2"/>
  <c r="J206" i="2"/>
  <c r="K206" i="2"/>
  <c r="H207" i="2"/>
  <c r="I207" i="2"/>
  <c r="J207" i="2"/>
  <c r="K207" i="2"/>
  <c r="H208" i="2"/>
  <c r="I208" i="2"/>
  <c r="J208" i="2"/>
  <c r="K208" i="2"/>
  <c r="H209" i="2"/>
  <c r="I209" i="2"/>
  <c r="J209" i="2"/>
  <c r="K209" i="2"/>
  <c r="H210" i="2"/>
  <c r="I210" i="2"/>
  <c r="J210" i="2"/>
  <c r="K210" i="2"/>
  <c r="H211" i="2"/>
  <c r="I211" i="2"/>
  <c r="J211" i="2"/>
  <c r="K211" i="2"/>
  <c r="H212" i="2"/>
  <c r="I212" i="2"/>
  <c r="J212" i="2"/>
  <c r="K212" i="2"/>
  <c r="H213" i="2"/>
  <c r="I213" i="2"/>
  <c r="J213" i="2"/>
  <c r="K213" i="2"/>
  <c r="H214" i="2"/>
  <c r="I214" i="2"/>
  <c r="J214" i="2"/>
  <c r="K214" i="2"/>
  <c r="H215" i="2"/>
  <c r="I215" i="2"/>
  <c r="J215" i="2"/>
  <c r="K215" i="2"/>
  <c r="H216" i="2"/>
  <c r="I216" i="2"/>
  <c r="J216" i="2"/>
  <c r="K216" i="2"/>
  <c r="H217" i="2"/>
  <c r="I217" i="2"/>
  <c r="J217" i="2"/>
  <c r="K217" i="2"/>
  <c r="H218" i="2"/>
  <c r="I218" i="2"/>
  <c r="J218" i="2"/>
  <c r="K218" i="2"/>
  <c r="H219" i="2"/>
  <c r="I219" i="2"/>
  <c r="J219" i="2"/>
  <c r="K219" i="2"/>
  <c r="H220" i="2"/>
  <c r="I220" i="2"/>
  <c r="J220" i="2"/>
  <c r="K220" i="2"/>
  <c r="H221" i="2"/>
  <c r="I221" i="2"/>
  <c r="J221" i="2"/>
  <c r="K221" i="2"/>
  <c r="H222" i="2"/>
  <c r="I222" i="2"/>
  <c r="J222" i="2"/>
  <c r="K222" i="2"/>
  <c r="H223" i="2"/>
  <c r="I223" i="2"/>
  <c r="J223" i="2"/>
  <c r="K223" i="2"/>
  <c r="H224" i="2"/>
  <c r="I224" i="2"/>
  <c r="J224" i="2"/>
  <c r="K224" i="2"/>
  <c r="H225" i="2"/>
  <c r="I225" i="2"/>
  <c r="J225" i="2"/>
  <c r="K225" i="2"/>
  <c r="H226" i="2"/>
  <c r="I226" i="2"/>
  <c r="J226" i="2"/>
  <c r="K226" i="2"/>
  <c r="H227" i="2"/>
  <c r="I227" i="2"/>
  <c r="J227" i="2"/>
  <c r="K227" i="2"/>
  <c r="H228" i="2"/>
  <c r="I228" i="2"/>
  <c r="J228" i="2"/>
  <c r="K228" i="2"/>
  <c r="H229" i="2"/>
  <c r="I229" i="2"/>
  <c r="J229" i="2"/>
  <c r="K229" i="2"/>
  <c r="H230" i="2"/>
  <c r="I230" i="2"/>
  <c r="J230" i="2"/>
  <c r="K230" i="2"/>
  <c r="H231" i="2"/>
  <c r="I231" i="2"/>
  <c r="J231" i="2"/>
  <c r="K231" i="2"/>
  <c r="H232" i="2"/>
  <c r="I232" i="2"/>
  <c r="J232" i="2"/>
  <c r="K232" i="2"/>
  <c r="H233" i="2"/>
  <c r="I233" i="2"/>
  <c r="J233" i="2"/>
  <c r="K233" i="2"/>
  <c r="H234" i="2"/>
  <c r="I234" i="2"/>
  <c r="J234" i="2"/>
  <c r="K234" i="2"/>
  <c r="H235" i="2"/>
  <c r="I235" i="2"/>
  <c r="J235" i="2"/>
  <c r="K235" i="2"/>
  <c r="H236" i="2"/>
  <c r="I236" i="2"/>
  <c r="J236" i="2"/>
  <c r="K236" i="2"/>
  <c r="H237" i="2"/>
  <c r="I237" i="2"/>
  <c r="J237" i="2"/>
  <c r="K237" i="2"/>
  <c r="H238" i="2"/>
  <c r="I238" i="2"/>
  <c r="J238" i="2"/>
  <c r="K238" i="2"/>
  <c r="H239" i="2"/>
  <c r="I239" i="2"/>
  <c r="J239" i="2"/>
  <c r="K239" i="2"/>
  <c r="H240" i="2"/>
  <c r="I240" i="2"/>
  <c r="J240" i="2"/>
  <c r="K240" i="2"/>
  <c r="H241" i="2"/>
  <c r="I241" i="2"/>
  <c r="J241" i="2"/>
  <c r="K241" i="2"/>
  <c r="H242" i="2"/>
  <c r="I242" i="2"/>
  <c r="J242" i="2"/>
  <c r="K242" i="2"/>
  <c r="H243" i="2"/>
  <c r="I243" i="2"/>
  <c r="J243" i="2"/>
  <c r="K243" i="2"/>
  <c r="H244" i="2"/>
  <c r="I244" i="2"/>
  <c r="J244" i="2"/>
  <c r="K244" i="2"/>
  <c r="H245" i="2"/>
  <c r="I245" i="2"/>
  <c r="J245" i="2"/>
  <c r="K245" i="2"/>
  <c r="H246" i="2"/>
  <c r="I246" i="2"/>
  <c r="J246" i="2"/>
  <c r="K246" i="2"/>
  <c r="H247" i="2"/>
  <c r="I247" i="2"/>
  <c r="J247" i="2"/>
  <c r="K247" i="2"/>
  <c r="H248" i="2"/>
  <c r="I248" i="2"/>
  <c r="J248" i="2"/>
  <c r="K248" i="2"/>
  <c r="H249" i="2"/>
  <c r="I249" i="2"/>
  <c r="J249" i="2"/>
  <c r="K249" i="2"/>
  <c r="H250" i="2"/>
  <c r="I250" i="2"/>
  <c r="J250" i="2"/>
  <c r="K250" i="2"/>
  <c r="H251" i="2"/>
  <c r="I251" i="2"/>
  <c r="J251" i="2"/>
  <c r="K251" i="2"/>
  <c r="H252" i="2"/>
  <c r="I252" i="2"/>
  <c r="J252" i="2"/>
  <c r="K252" i="2"/>
  <c r="H253" i="2"/>
  <c r="I253" i="2"/>
  <c r="J253" i="2"/>
  <c r="K253" i="2"/>
  <c r="H254" i="2"/>
  <c r="I254" i="2"/>
  <c r="J254" i="2"/>
  <c r="K254" i="2"/>
  <c r="H255" i="2"/>
  <c r="I255" i="2"/>
  <c r="J255" i="2"/>
  <c r="K255" i="2"/>
  <c r="H256" i="2"/>
  <c r="I256" i="2"/>
  <c r="J256" i="2"/>
  <c r="K256" i="2"/>
  <c r="H257" i="2"/>
  <c r="I257" i="2"/>
  <c r="J257" i="2"/>
  <c r="K257" i="2"/>
  <c r="H258" i="2"/>
  <c r="I258" i="2"/>
  <c r="J258" i="2"/>
  <c r="K258" i="2"/>
  <c r="H259" i="2"/>
  <c r="I259" i="2"/>
  <c r="J259" i="2"/>
  <c r="K259" i="2"/>
  <c r="H260" i="2"/>
  <c r="I260" i="2"/>
  <c r="J260" i="2"/>
  <c r="K260" i="2"/>
  <c r="H261" i="2"/>
  <c r="I261" i="2"/>
  <c r="J261" i="2"/>
  <c r="K261" i="2"/>
  <c r="H262" i="2"/>
  <c r="I262" i="2"/>
  <c r="J262" i="2"/>
  <c r="K262" i="2"/>
  <c r="H263" i="2"/>
  <c r="I263" i="2"/>
  <c r="J263" i="2"/>
  <c r="K263" i="2"/>
  <c r="H264" i="2"/>
  <c r="I264" i="2"/>
  <c r="J264" i="2"/>
  <c r="K264" i="2"/>
  <c r="H265" i="2"/>
  <c r="I265" i="2"/>
  <c r="J265" i="2"/>
  <c r="K265" i="2"/>
  <c r="H266" i="2"/>
  <c r="I266" i="2"/>
  <c r="J266" i="2"/>
  <c r="K266" i="2"/>
  <c r="H267" i="2"/>
  <c r="I267" i="2"/>
  <c r="J267" i="2"/>
  <c r="K267" i="2"/>
  <c r="H268" i="2"/>
  <c r="I268" i="2"/>
  <c r="J268" i="2"/>
  <c r="K268" i="2"/>
  <c r="H269" i="2"/>
  <c r="I269" i="2"/>
  <c r="J269" i="2"/>
  <c r="K269" i="2"/>
  <c r="H270" i="2"/>
  <c r="I270" i="2"/>
  <c r="J270" i="2"/>
  <c r="K270" i="2"/>
  <c r="H271" i="2"/>
  <c r="I271" i="2"/>
  <c r="J271" i="2"/>
  <c r="K271" i="2"/>
  <c r="H272" i="2"/>
  <c r="I272" i="2"/>
  <c r="J272" i="2"/>
  <c r="K272" i="2"/>
  <c r="H273" i="2"/>
  <c r="I273" i="2"/>
  <c r="J273" i="2"/>
  <c r="K273" i="2"/>
  <c r="H274" i="2"/>
  <c r="I274" i="2"/>
  <c r="J274" i="2"/>
  <c r="K274" i="2"/>
  <c r="H275" i="2"/>
  <c r="I275" i="2"/>
  <c r="J275" i="2"/>
  <c r="K275" i="2"/>
  <c r="H276" i="2"/>
  <c r="I276" i="2"/>
  <c r="J276" i="2"/>
  <c r="K276" i="2"/>
  <c r="H277" i="2"/>
  <c r="I277" i="2"/>
  <c r="J277" i="2"/>
  <c r="K277" i="2"/>
  <c r="H278" i="2"/>
  <c r="I278" i="2"/>
  <c r="J278" i="2"/>
  <c r="K278" i="2"/>
  <c r="H279" i="2"/>
  <c r="I279" i="2"/>
  <c r="J279" i="2"/>
  <c r="K279" i="2"/>
  <c r="H280" i="2"/>
  <c r="I280" i="2"/>
  <c r="J280" i="2"/>
  <c r="K280" i="2"/>
  <c r="H281" i="2"/>
  <c r="I281" i="2"/>
  <c r="J281" i="2"/>
  <c r="K281" i="2"/>
  <c r="H282" i="2"/>
  <c r="I282" i="2"/>
  <c r="J282" i="2"/>
  <c r="K282" i="2"/>
  <c r="H283" i="2"/>
  <c r="I283" i="2"/>
  <c r="J283" i="2"/>
  <c r="K283" i="2"/>
  <c r="H284" i="2"/>
  <c r="I284" i="2"/>
  <c r="J284" i="2"/>
  <c r="K284" i="2"/>
  <c r="H285" i="2"/>
  <c r="I285" i="2"/>
  <c r="J285" i="2"/>
  <c r="K285" i="2"/>
  <c r="H286" i="2"/>
  <c r="I286" i="2"/>
  <c r="J286" i="2"/>
  <c r="K286" i="2"/>
  <c r="H287" i="2"/>
  <c r="I287" i="2"/>
  <c r="J287" i="2"/>
  <c r="K287" i="2"/>
  <c r="H288" i="2"/>
  <c r="I288" i="2"/>
  <c r="J288" i="2"/>
  <c r="K288" i="2"/>
  <c r="H289" i="2"/>
  <c r="I289" i="2"/>
  <c r="J289" i="2"/>
  <c r="K289" i="2"/>
  <c r="H290" i="2"/>
  <c r="I290" i="2"/>
  <c r="J290" i="2"/>
  <c r="K290" i="2"/>
  <c r="H291" i="2"/>
  <c r="I291" i="2"/>
  <c r="J291" i="2"/>
  <c r="K291" i="2"/>
  <c r="H292" i="2"/>
  <c r="I292" i="2"/>
  <c r="J292" i="2"/>
  <c r="K292" i="2"/>
  <c r="H293" i="2"/>
  <c r="I293" i="2"/>
  <c r="J293" i="2"/>
  <c r="K293" i="2"/>
  <c r="H294" i="2"/>
  <c r="I294" i="2"/>
  <c r="J294" i="2"/>
  <c r="K294" i="2"/>
  <c r="H295" i="2"/>
  <c r="I295" i="2"/>
  <c r="J295" i="2"/>
  <c r="K295" i="2"/>
  <c r="H296" i="2"/>
  <c r="I296" i="2"/>
  <c r="J296" i="2"/>
  <c r="K296" i="2"/>
  <c r="H297" i="2"/>
  <c r="I297" i="2"/>
  <c r="J297" i="2"/>
  <c r="K297" i="2"/>
  <c r="H298" i="2"/>
  <c r="I298" i="2"/>
  <c r="J298" i="2"/>
  <c r="K298" i="2"/>
  <c r="H299" i="2"/>
  <c r="I299" i="2"/>
  <c r="J299" i="2"/>
  <c r="K299" i="2"/>
  <c r="H300" i="2"/>
  <c r="I300" i="2"/>
  <c r="J300" i="2"/>
  <c r="K300" i="2"/>
  <c r="H301" i="2"/>
  <c r="I301" i="2"/>
  <c r="J301" i="2"/>
  <c r="K301" i="2"/>
  <c r="H302" i="2"/>
  <c r="I302" i="2"/>
  <c r="J302" i="2"/>
  <c r="K302" i="2"/>
  <c r="E5" i="3"/>
  <c r="E6" i="3"/>
  <c r="E9" i="3"/>
  <c r="E21" i="3"/>
  <c r="E33" i="3"/>
  <c r="E45" i="3"/>
  <c r="E57" i="3"/>
  <c r="E68" i="3"/>
  <c r="E69" i="3"/>
  <c r="E79" i="3"/>
  <c r="E81" i="3"/>
  <c r="E93" i="3"/>
  <c r="E102" i="3"/>
  <c r="E105" i="3"/>
  <c r="E117" i="3"/>
  <c r="E141" i="3"/>
  <c r="E150" i="3"/>
  <c r="E153" i="3"/>
  <c r="E175" i="3"/>
  <c r="E189" i="3"/>
  <c r="E211" i="3"/>
  <c r="E213" i="3"/>
  <c r="E224" i="3"/>
  <c r="E225" i="3"/>
  <c r="E237" i="3"/>
  <c r="E273" i="3"/>
  <c r="E297" i="3"/>
  <c r="I139" i="4" l="1"/>
  <c r="I271" i="4"/>
  <c r="I127" i="4"/>
  <c r="I45" i="4"/>
  <c r="I283" i="4"/>
  <c r="I259" i="4"/>
  <c r="I115" i="4"/>
  <c r="I43" i="4"/>
  <c r="I247" i="4"/>
  <c r="I103" i="4"/>
  <c r="I38" i="4"/>
  <c r="I235" i="4"/>
  <c r="I91" i="4"/>
  <c r="I33" i="4"/>
  <c r="I223" i="4"/>
  <c r="I79" i="4"/>
  <c r="I31" i="4"/>
  <c r="I211" i="4"/>
  <c r="I74" i="4"/>
  <c r="I199" i="4"/>
  <c r="I69" i="4"/>
  <c r="I21" i="4"/>
  <c r="I187" i="4"/>
  <c r="I67" i="4"/>
  <c r="I19" i="4"/>
  <c r="I175" i="4"/>
  <c r="I62" i="4"/>
  <c r="I14" i="4"/>
  <c r="I163" i="4"/>
  <c r="I57" i="4"/>
  <c r="I9" i="4"/>
  <c r="I295" i="4"/>
  <c r="I151" i="4"/>
  <c r="I55" i="4"/>
  <c r="I7" i="4"/>
  <c r="I293" i="4"/>
  <c r="I281" i="4"/>
  <c r="I269" i="4"/>
  <c r="I257" i="4"/>
  <c r="I245" i="4"/>
  <c r="I233" i="4"/>
  <c r="I221" i="4"/>
  <c r="I209" i="4"/>
  <c r="I197" i="4"/>
  <c r="I185" i="4"/>
  <c r="I173" i="4"/>
  <c r="I161" i="4"/>
  <c r="I149" i="4"/>
  <c r="I137" i="4"/>
  <c r="I125" i="4"/>
  <c r="I113" i="4"/>
  <c r="I101" i="4"/>
  <c r="I89" i="4"/>
  <c r="I77" i="4"/>
  <c r="I65" i="4"/>
  <c r="I53" i="4"/>
  <c r="I41" i="4"/>
  <c r="I29" i="4"/>
  <c r="I17" i="4"/>
  <c r="I5" i="4"/>
  <c r="J292" i="4"/>
  <c r="J280" i="4"/>
  <c r="J268" i="4"/>
  <c r="J256" i="4"/>
  <c r="J244" i="4"/>
  <c r="J232" i="4"/>
  <c r="J220" i="4"/>
  <c r="J208" i="4"/>
  <c r="J196" i="4"/>
  <c r="J184" i="4"/>
  <c r="J172" i="4"/>
  <c r="J160" i="4"/>
  <c r="J148" i="4"/>
  <c r="J136" i="4"/>
  <c r="J124" i="4"/>
  <c r="J112" i="4"/>
  <c r="J100" i="4"/>
  <c r="J88" i="4"/>
  <c r="J76" i="4"/>
  <c r="J64" i="4"/>
  <c r="J52" i="4"/>
  <c r="J40" i="4"/>
  <c r="J28" i="4"/>
  <c r="J16" i="4"/>
  <c r="J303" i="4"/>
  <c r="J291" i="4"/>
  <c r="J279" i="4"/>
  <c r="J267" i="4"/>
  <c r="J255" i="4"/>
  <c r="J243" i="4"/>
  <c r="J231" i="4"/>
  <c r="J219" i="4"/>
  <c r="J207" i="4"/>
  <c r="J195" i="4"/>
  <c r="J183" i="4"/>
  <c r="J171" i="4"/>
  <c r="J159" i="4"/>
  <c r="J147" i="4"/>
  <c r="J135" i="4"/>
  <c r="J123" i="4"/>
  <c r="J111" i="4"/>
  <c r="J99" i="4"/>
  <c r="J87" i="4"/>
  <c r="J75" i="4"/>
  <c r="J63" i="4"/>
  <c r="J51" i="4"/>
  <c r="J39" i="4"/>
  <c r="J27" i="4"/>
  <c r="J15" i="4"/>
  <c r="J302" i="4"/>
  <c r="J290" i="4"/>
  <c r="J278" i="4"/>
  <c r="J266" i="4"/>
  <c r="J254" i="4"/>
  <c r="J242" i="4"/>
  <c r="J230" i="4"/>
  <c r="J218" i="4"/>
  <c r="J206" i="4"/>
  <c r="J194" i="4"/>
  <c r="J182" i="4"/>
  <c r="J170" i="4"/>
  <c r="J158" i="4"/>
  <c r="J146" i="4"/>
  <c r="J134" i="4"/>
  <c r="J122" i="4"/>
  <c r="J110" i="4"/>
  <c r="J98" i="4"/>
  <c r="J86" i="4"/>
  <c r="J301" i="4"/>
  <c r="J289" i="4"/>
  <c r="J277" i="4"/>
  <c r="J265" i="4"/>
  <c r="J253" i="4"/>
  <c r="J241" i="4"/>
  <c r="J229" i="4"/>
  <c r="J217" i="4"/>
  <c r="J205" i="4"/>
  <c r="J193" i="4"/>
  <c r="J181" i="4"/>
  <c r="J169" i="4"/>
  <c r="J157" i="4"/>
  <c r="J145" i="4"/>
  <c r="J133" i="4"/>
  <c r="J121" i="4"/>
  <c r="J109" i="4"/>
  <c r="J97" i="4"/>
  <c r="J85" i="4"/>
  <c r="J73" i="4"/>
  <c r="J61" i="4"/>
  <c r="J49" i="4"/>
  <c r="J37" i="4"/>
  <c r="J25" i="4"/>
  <c r="J13" i="4"/>
  <c r="J300" i="4"/>
  <c r="J288" i="4"/>
  <c r="J276" i="4"/>
  <c r="J264" i="4"/>
  <c r="J252" i="4"/>
  <c r="J240" i="4"/>
  <c r="J228" i="4"/>
  <c r="J216" i="4"/>
  <c r="J204" i="4"/>
  <c r="J192" i="4"/>
  <c r="J180" i="4"/>
  <c r="J168" i="4"/>
  <c r="J156" i="4"/>
  <c r="J144" i="4"/>
  <c r="J132" i="4"/>
  <c r="J120" i="4"/>
  <c r="J108" i="4"/>
  <c r="J96" i="4"/>
  <c r="J84" i="4"/>
  <c r="J72" i="4"/>
  <c r="J60" i="4"/>
  <c r="J48" i="4"/>
  <c r="J36" i="4"/>
  <c r="J24" i="4"/>
  <c r="J12" i="4"/>
  <c r="J299" i="4"/>
  <c r="J287" i="4"/>
  <c r="J275" i="4"/>
  <c r="J263" i="4"/>
  <c r="J251" i="4"/>
  <c r="J239" i="4"/>
  <c r="J227" i="4"/>
  <c r="J215" i="4"/>
  <c r="J203" i="4"/>
  <c r="J191" i="4"/>
  <c r="J179" i="4"/>
  <c r="J167" i="4"/>
  <c r="J155" i="4"/>
  <c r="J143" i="4"/>
  <c r="J131" i="4"/>
  <c r="J119" i="4"/>
  <c r="J107" i="4"/>
  <c r="J95" i="4"/>
  <c r="J83" i="4"/>
  <c r="J71" i="4"/>
  <c r="J59" i="4"/>
  <c r="J47" i="4"/>
  <c r="J35" i="4"/>
  <c r="J23" i="4"/>
  <c r="J11" i="4"/>
  <c r="J298" i="4"/>
  <c r="J286" i="4"/>
  <c r="J274" i="4"/>
  <c r="J262" i="4"/>
  <c r="J250" i="4"/>
  <c r="J238" i="4"/>
  <c r="J226" i="4"/>
  <c r="J214" i="4"/>
  <c r="J202" i="4"/>
  <c r="J190" i="4"/>
  <c r="J178" i="4"/>
  <c r="J166" i="4"/>
  <c r="J154" i="4"/>
  <c r="J142" i="4"/>
  <c r="J130" i="4"/>
  <c r="J118" i="4"/>
  <c r="J106" i="4"/>
  <c r="J94" i="4"/>
  <c r="J82" i="4"/>
  <c r="J70" i="4"/>
  <c r="J58" i="4"/>
  <c r="J46" i="4"/>
  <c r="J34" i="4"/>
  <c r="J22" i="4"/>
  <c r="J10" i="4"/>
  <c r="J297" i="4"/>
  <c r="J285" i="4"/>
  <c r="J273" i="4"/>
  <c r="J261" i="4"/>
  <c r="J249" i="4"/>
  <c r="J237" i="4"/>
  <c r="J225" i="4"/>
  <c r="J213" i="4"/>
  <c r="J201" i="4"/>
  <c r="J189" i="4"/>
  <c r="J177" i="4"/>
  <c r="J165" i="4"/>
  <c r="J153" i="4"/>
  <c r="J141" i="4"/>
  <c r="J129" i="4"/>
  <c r="J117" i="4"/>
  <c r="J105" i="4"/>
  <c r="J93" i="4"/>
  <c r="J81" i="4"/>
  <c r="J296" i="4"/>
  <c r="J284" i="4"/>
  <c r="J272" i="4"/>
  <c r="J260" i="4"/>
  <c r="J248" i="4"/>
  <c r="J236" i="4"/>
  <c r="J224" i="4"/>
  <c r="J212" i="4"/>
  <c r="J200" i="4"/>
  <c r="J188" i="4"/>
  <c r="J176" i="4"/>
  <c r="J164" i="4"/>
  <c r="J152" i="4"/>
  <c r="J140" i="4"/>
  <c r="J128" i="4"/>
  <c r="J116" i="4"/>
  <c r="J104" i="4"/>
  <c r="J92" i="4"/>
  <c r="J80" i="4"/>
  <c r="J68" i="4"/>
  <c r="J56" i="4"/>
  <c r="J44" i="4"/>
  <c r="J32" i="4"/>
  <c r="J20" i="4"/>
  <c r="J8" i="4"/>
  <c r="J294" i="4"/>
  <c r="J282" i="4"/>
  <c r="J270" i="4"/>
  <c r="J258" i="4"/>
  <c r="J246" i="4"/>
  <c r="J234" i="4"/>
  <c r="J222" i="4"/>
  <c r="J210" i="4"/>
  <c r="J198" i="4"/>
  <c r="J186" i="4"/>
  <c r="J174" i="4"/>
  <c r="J162" i="4"/>
  <c r="J150" i="4"/>
  <c r="J138" i="4"/>
  <c r="J126" i="4"/>
  <c r="J114" i="4"/>
  <c r="J102" i="4"/>
  <c r="J90" i="4"/>
  <c r="J78" i="4"/>
  <c r="J66" i="4"/>
  <c r="J54" i="4"/>
  <c r="J42" i="4"/>
  <c r="J30" i="4"/>
  <c r="J18" i="4"/>
  <c r="J6" i="4"/>
  <c r="L82" i="4"/>
  <c r="F82" i="4"/>
  <c r="K82" i="4" s="1"/>
  <c r="C282" i="4"/>
  <c r="C174" i="4"/>
  <c r="C54" i="4"/>
  <c r="D222" i="4"/>
  <c r="D66" i="4"/>
  <c r="C303" i="4"/>
  <c r="C49" i="4"/>
  <c r="C295" i="4"/>
  <c r="C283" i="4"/>
  <c r="C271" i="4"/>
  <c r="C259" i="4"/>
  <c r="C247" i="4"/>
  <c r="C235" i="4"/>
  <c r="C223" i="4"/>
  <c r="C211" i="4"/>
  <c r="C199" i="4"/>
  <c r="C187" i="4"/>
  <c r="C175" i="4"/>
  <c r="C163" i="4"/>
  <c r="C151" i="4"/>
  <c r="C139" i="4"/>
  <c r="C127" i="4"/>
  <c r="C115" i="4"/>
  <c r="C103" i="4"/>
  <c r="C91" i="4"/>
  <c r="C79" i="4"/>
  <c r="C67" i="4"/>
  <c r="C55" i="4"/>
  <c r="C43" i="4"/>
  <c r="C31" i="4"/>
  <c r="C19" i="4"/>
  <c r="C7" i="4"/>
  <c r="D295" i="4"/>
  <c r="D283" i="4"/>
  <c r="D271" i="4"/>
  <c r="D259" i="4"/>
  <c r="D247" i="4"/>
  <c r="D235" i="4"/>
  <c r="D223" i="4"/>
  <c r="D211" i="4"/>
  <c r="D199" i="4"/>
  <c r="D187" i="4"/>
  <c r="D175" i="4"/>
  <c r="D163" i="4"/>
  <c r="D151" i="4"/>
  <c r="D139" i="4"/>
  <c r="D127" i="4"/>
  <c r="D115" i="4"/>
  <c r="D103" i="4"/>
  <c r="D91" i="4"/>
  <c r="D79" i="4"/>
  <c r="D67" i="4"/>
  <c r="D55" i="4"/>
  <c r="D43" i="4"/>
  <c r="D31" i="4"/>
  <c r="D19" i="4"/>
  <c r="D7" i="4"/>
  <c r="E295" i="4"/>
  <c r="E283" i="4"/>
  <c r="E271" i="4"/>
  <c r="E259" i="4"/>
  <c r="E247" i="4"/>
  <c r="E224" i="4"/>
  <c r="E178" i="4"/>
  <c r="E130" i="4"/>
  <c r="A4" i="4"/>
  <c r="H4" i="4" s="1"/>
  <c r="E13" i="4"/>
  <c r="E25" i="4"/>
  <c r="E37" i="4"/>
  <c r="E49" i="4"/>
  <c r="E61" i="4"/>
  <c r="E73" i="4"/>
  <c r="E85" i="4"/>
  <c r="E97" i="4"/>
  <c r="E109" i="4"/>
  <c r="E121" i="4"/>
  <c r="E133" i="4"/>
  <c r="E145" i="4"/>
  <c r="E157" i="4"/>
  <c r="E169" i="4"/>
  <c r="E181" i="4"/>
  <c r="E193" i="4"/>
  <c r="E205" i="4"/>
  <c r="E217" i="4"/>
  <c r="E229" i="4"/>
  <c r="E241" i="4"/>
  <c r="E14" i="4"/>
  <c r="E26" i="4"/>
  <c r="E38" i="4"/>
  <c r="E50" i="4"/>
  <c r="E62" i="4"/>
  <c r="E74" i="4"/>
  <c r="E86" i="4"/>
  <c r="E98" i="4"/>
  <c r="E110" i="4"/>
  <c r="E122" i="4"/>
  <c r="E134" i="4"/>
  <c r="E146" i="4"/>
  <c r="E158" i="4"/>
  <c r="E170" i="4"/>
  <c r="E182" i="4"/>
  <c r="E194" i="4"/>
  <c r="E206" i="4"/>
  <c r="E218" i="4"/>
  <c r="E230" i="4"/>
  <c r="E15" i="4"/>
  <c r="E27" i="4"/>
  <c r="E39" i="4"/>
  <c r="E51" i="4"/>
  <c r="E63" i="4"/>
  <c r="E75" i="4"/>
  <c r="E87" i="4"/>
  <c r="E99" i="4"/>
  <c r="E111" i="4"/>
  <c r="E123" i="4"/>
  <c r="E135" i="4"/>
  <c r="E147" i="4"/>
  <c r="E159" i="4"/>
  <c r="E171" i="4"/>
  <c r="E183" i="4"/>
  <c r="E195" i="4"/>
  <c r="E207" i="4"/>
  <c r="E219" i="4"/>
  <c r="E231" i="4"/>
  <c r="E16" i="4"/>
  <c r="E28" i="4"/>
  <c r="E40" i="4"/>
  <c r="E52" i="4"/>
  <c r="E64" i="4"/>
  <c r="E76" i="4"/>
  <c r="E88" i="4"/>
  <c r="E100" i="4"/>
  <c r="E112" i="4"/>
  <c r="E124" i="4"/>
  <c r="E136" i="4"/>
  <c r="E148" i="4"/>
  <c r="E160" i="4"/>
  <c r="E172" i="4"/>
  <c r="E184" i="4"/>
  <c r="E196" i="4"/>
  <c r="E208" i="4"/>
  <c r="E220" i="4"/>
  <c r="E232" i="4"/>
  <c r="E5" i="4"/>
  <c r="E17" i="4"/>
  <c r="E29" i="4"/>
  <c r="E41" i="4"/>
  <c r="E53" i="4"/>
  <c r="E65" i="4"/>
  <c r="E77" i="4"/>
  <c r="E89" i="4"/>
  <c r="E101" i="4"/>
  <c r="E113" i="4"/>
  <c r="E125" i="4"/>
  <c r="E137" i="4"/>
  <c r="E149" i="4"/>
  <c r="E161" i="4"/>
  <c r="E173" i="4"/>
  <c r="E185" i="4"/>
  <c r="E197" i="4"/>
  <c r="E209" i="4"/>
  <c r="E221" i="4"/>
  <c r="E233" i="4"/>
  <c r="E245" i="4"/>
  <c r="E6" i="4"/>
  <c r="E18" i="4"/>
  <c r="E30" i="4"/>
  <c r="E42" i="4"/>
  <c r="E54" i="4"/>
  <c r="E66" i="4"/>
  <c r="E78" i="4"/>
  <c r="E90" i="4"/>
  <c r="E102" i="4"/>
  <c r="E114" i="4"/>
  <c r="E126" i="4"/>
  <c r="E138" i="4"/>
  <c r="E150" i="4"/>
  <c r="E162" i="4"/>
  <c r="E174" i="4"/>
  <c r="E186" i="4"/>
  <c r="E198" i="4"/>
  <c r="E210" i="4"/>
  <c r="E222" i="4"/>
  <c r="E234" i="4"/>
  <c r="E7" i="4"/>
  <c r="E19" i="4"/>
  <c r="E31" i="4"/>
  <c r="E43" i="4"/>
  <c r="E55" i="4"/>
  <c r="E67" i="4"/>
  <c r="E79" i="4"/>
  <c r="E91" i="4"/>
  <c r="E103" i="4"/>
  <c r="E115" i="4"/>
  <c r="E127" i="4"/>
  <c r="E139" i="4"/>
  <c r="E151" i="4"/>
  <c r="E163" i="4"/>
  <c r="E175" i="4"/>
  <c r="E187" i="4"/>
  <c r="E199" i="4"/>
  <c r="E211" i="4"/>
  <c r="E223" i="4"/>
  <c r="E235" i="4"/>
  <c r="E8" i="4"/>
  <c r="E20" i="4"/>
  <c r="E32" i="4"/>
  <c r="E44" i="4"/>
  <c r="E56" i="4"/>
  <c r="E68" i="4"/>
  <c r="E80" i="4"/>
  <c r="E92" i="4"/>
  <c r="E104" i="4"/>
  <c r="E116" i="4"/>
  <c r="E128" i="4"/>
  <c r="E140" i="4"/>
  <c r="E152" i="4"/>
  <c r="E164" i="4"/>
  <c r="E176" i="4"/>
  <c r="E188" i="4"/>
  <c r="E200" i="4"/>
  <c r="E212" i="4"/>
  <c r="E9" i="4"/>
  <c r="E21" i="4"/>
  <c r="E33" i="4"/>
  <c r="E45" i="4"/>
  <c r="E57" i="4"/>
  <c r="E69" i="4"/>
  <c r="E81" i="4"/>
  <c r="E93" i="4"/>
  <c r="E105" i="4"/>
  <c r="E117" i="4"/>
  <c r="E129" i="4"/>
  <c r="E141" i="4"/>
  <c r="E153" i="4"/>
  <c r="E165" i="4"/>
  <c r="E177" i="4"/>
  <c r="E189" i="4"/>
  <c r="E201" i="4"/>
  <c r="E213" i="4"/>
  <c r="E225" i="4"/>
  <c r="E237" i="4"/>
  <c r="E10" i="4"/>
  <c r="E22" i="4"/>
  <c r="E34" i="4"/>
  <c r="E46" i="4"/>
  <c r="E58" i="4"/>
  <c r="E70" i="4"/>
  <c r="E11" i="4"/>
  <c r="E23" i="4"/>
  <c r="E35" i="4"/>
  <c r="E47" i="4"/>
  <c r="E59" i="4"/>
  <c r="E71" i="4"/>
  <c r="C293" i="4"/>
  <c r="C281" i="4"/>
  <c r="C269" i="4"/>
  <c r="C257" i="4"/>
  <c r="C245" i="4"/>
  <c r="C233" i="4"/>
  <c r="C221" i="4"/>
  <c r="C209" i="4"/>
  <c r="C197" i="4"/>
  <c r="C185" i="4"/>
  <c r="C173" i="4"/>
  <c r="C161" i="4"/>
  <c r="C149" i="4"/>
  <c r="C137" i="4"/>
  <c r="C125" i="4"/>
  <c r="C113" i="4"/>
  <c r="C101" i="4"/>
  <c r="C89" i="4"/>
  <c r="C77" i="4"/>
  <c r="C65" i="4"/>
  <c r="C53" i="4"/>
  <c r="C41" i="4"/>
  <c r="C29" i="4"/>
  <c r="C17" i="4"/>
  <c r="C5" i="4"/>
  <c r="D293" i="4"/>
  <c r="D281" i="4"/>
  <c r="D269" i="4"/>
  <c r="D257" i="4"/>
  <c r="D245" i="4"/>
  <c r="D233" i="4"/>
  <c r="D221" i="4"/>
  <c r="D209" i="4"/>
  <c r="D197" i="4"/>
  <c r="D185" i="4"/>
  <c r="D173" i="4"/>
  <c r="D161" i="4"/>
  <c r="D149" i="4"/>
  <c r="D137" i="4"/>
  <c r="D125" i="4"/>
  <c r="D113" i="4"/>
  <c r="D101" i="4"/>
  <c r="D89" i="4"/>
  <c r="D77" i="4"/>
  <c r="D65" i="4"/>
  <c r="D53" i="4"/>
  <c r="D41" i="4"/>
  <c r="D29" i="4"/>
  <c r="D17" i="4"/>
  <c r="D5" i="4"/>
  <c r="E293" i="4"/>
  <c r="E281" i="4"/>
  <c r="E269" i="4"/>
  <c r="E257" i="4"/>
  <c r="E244" i="4"/>
  <c r="E215" i="4"/>
  <c r="E167" i="4"/>
  <c r="E119" i="4"/>
  <c r="E60" i="4"/>
  <c r="C270" i="4"/>
  <c r="C186" i="4"/>
  <c r="C66" i="4"/>
  <c r="D234" i="4"/>
  <c r="D114" i="4"/>
  <c r="E270" i="4"/>
  <c r="C280" i="4"/>
  <c r="C268" i="4"/>
  <c r="C256" i="4"/>
  <c r="C244" i="4"/>
  <c r="C232" i="4"/>
  <c r="C220" i="4"/>
  <c r="C208" i="4"/>
  <c r="C196" i="4"/>
  <c r="C184" i="4"/>
  <c r="C172" i="4"/>
  <c r="C160" i="4"/>
  <c r="C148" i="4"/>
  <c r="C136" i="4"/>
  <c r="C124" i="4"/>
  <c r="C112" i="4"/>
  <c r="C100" i="4"/>
  <c r="C88" i="4"/>
  <c r="C76" i="4"/>
  <c r="C64" i="4"/>
  <c r="C52" i="4"/>
  <c r="C40" i="4"/>
  <c r="C28" i="4"/>
  <c r="C16" i="4"/>
  <c r="D292" i="4"/>
  <c r="D280" i="4"/>
  <c r="D268" i="4"/>
  <c r="D256" i="4"/>
  <c r="D244" i="4"/>
  <c r="D232" i="4"/>
  <c r="D220" i="4"/>
  <c r="D208" i="4"/>
  <c r="D196" i="4"/>
  <c r="D184" i="4"/>
  <c r="D172" i="4"/>
  <c r="D160" i="4"/>
  <c r="D148" i="4"/>
  <c r="D136" i="4"/>
  <c r="D124" i="4"/>
  <c r="D112" i="4"/>
  <c r="D100" i="4"/>
  <c r="D88" i="4"/>
  <c r="D76" i="4"/>
  <c r="D64" i="4"/>
  <c r="D52" i="4"/>
  <c r="D40" i="4"/>
  <c r="D28" i="4"/>
  <c r="D16" i="4"/>
  <c r="E292" i="4"/>
  <c r="E280" i="4"/>
  <c r="E268" i="4"/>
  <c r="E256" i="4"/>
  <c r="E243" i="4"/>
  <c r="E214" i="4"/>
  <c r="E166" i="4"/>
  <c r="E118" i="4"/>
  <c r="E48" i="4"/>
  <c r="C222" i="4"/>
  <c r="C102" i="4"/>
  <c r="D258" i="4"/>
  <c r="D138" i="4"/>
  <c r="D42" i="4"/>
  <c r="E168" i="4"/>
  <c r="C243" i="4"/>
  <c r="C147" i="4"/>
  <c r="C27" i="4"/>
  <c r="D243" i="4"/>
  <c r="D135" i="4"/>
  <c r="E303" i="4"/>
  <c r="C234" i="4"/>
  <c r="C210" i="4"/>
  <c r="C138" i="4"/>
  <c r="C78" i="4"/>
  <c r="D294" i="4"/>
  <c r="D246" i="4"/>
  <c r="D186" i="4"/>
  <c r="D126" i="4"/>
  <c r="D90" i="4"/>
  <c r="D30" i="4"/>
  <c r="E258" i="4"/>
  <c r="E120" i="4"/>
  <c r="C292" i="4"/>
  <c r="C291" i="4"/>
  <c r="C279" i="4"/>
  <c r="C267" i="4"/>
  <c r="C255" i="4"/>
  <c r="C231" i="4"/>
  <c r="C219" i="4"/>
  <c r="C207" i="4"/>
  <c r="C195" i="4"/>
  <c r="C183" i="4"/>
  <c r="C171" i="4"/>
  <c r="C123" i="4"/>
  <c r="C99" i="4"/>
  <c r="C87" i="4"/>
  <c r="C75" i="4"/>
  <c r="C39" i="4"/>
  <c r="C15" i="4"/>
  <c r="D303" i="4"/>
  <c r="D291" i="4"/>
  <c r="D279" i="4"/>
  <c r="D267" i="4"/>
  <c r="D255" i="4"/>
  <c r="D231" i="4"/>
  <c r="D219" i="4"/>
  <c r="D207" i="4"/>
  <c r="D195" i="4"/>
  <c r="D183" i="4"/>
  <c r="D171" i="4"/>
  <c r="D159" i="4"/>
  <c r="D147" i="4"/>
  <c r="D123" i="4"/>
  <c r="D111" i="4"/>
  <c r="D99" i="4"/>
  <c r="D87" i="4"/>
  <c r="D75" i="4"/>
  <c r="D63" i="4"/>
  <c r="D51" i="4"/>
  <c r="D39" i="4"/>
  <c r="D27" i="4"/>
  <c r="D15" i="4"/>
  <c r="E291" i="4"/>
  <c r="E279" i="4"/>
  <c r="E267" i="4"/>
  <c r="E255" i="4"/>
  <c r="E242" i="4"/>
  <c r="E204" i="4"/>
  <c r="E156" i="4"/>
  <c r="E108" i="4"/>
  <c r="E36" i="4"/>
  <c r="C302" i="4"/>
  <c r="C290" i="4"/>
  <c r="C278" i="4"/>
  <c r="C266" i="4"/>
  <c r="C254" i="4"/>
  <c r="C242" i="4"/>
  <c r="C230" i="4"/>
  <c r="C218" i="4"/>
  <c r="C206" i="4"/>
  <c r="C194" i="4"/>
  <c r="C182" i="4"/>
  <c r="C170" i="4"/>
  <c r="C158" i="4"/>
  <c r="C146" i="4"/>
  <c r="C134" i="4"/>
  <c r="C122" i="4"/>
  <c r="C110" i="4"/>
  <c r="C98" i="4"/>
  <c r="C86" i="4"/>
  <c r="C74" i="4"/>
  <c r="C62" i="4"/>
  <c r="C50" i="4"/>
  <c r="C38" i="4"/>
  <c r="C26" i="4"/>
  <c r="C14" i="4"/>
  <c r="D302" i="4"/>
  <c r="D290" i="4"/>
  <c r="D278" i="4"/>
  <c r="D266" i="4"/>
  <c r="D254" i="4"/>
  <c r="D242" i="4"/>
  <c r="D230" i="4"/>
  <c r="D218" i="4"/>
  <c r="D206" i="4"/>
  <c r="D194" i="4"/>
  <c r="D182" i="4"/>
  <c r="D170" i="4"/>
  <c r="D158" i="4"/>
  <c r="D146" i="4"/>
  <c r="D134" i="4"/>
  <c r="D122" i="4"/>
  <c r="D110" i="4"/>
  <c r="D98" i="4"/>
  <c r="D86" i="4"/>
  <c r="D74" i="4"/>
  <c r="D62" i="4"/>
  <c r="D50" i="4"/>
  <c r="D38" i="4"/>
  <c r="D26" i="4"/>
  <c r="D14" i="4"/>
  <c r="E302" i="4"/>
  <c r="E290" i="4"/>
  <c r="E278" i="4"/>
  <c r="E266" i="4"/>
  <c r="E254" i="4"/>
  <c r="E240" i="4"/>
  <c r="E203" i="4"/>
  <c r="E155" i="4"/>
  <c r="E107" i="4"/>
  <c r="E24" i="4"/>
  <c r="C150" i="4"/>
  <c r="C30" i="4"/>
  <c r="D198" i="4"/>
  <c r="D18" i="4"/>
  <c r="C63" i="4"/>
  <c r="C289" i="4"/>
  <c r="C253" i="4"/>
  <c r="C205" i="4"/>
  <c r="C169" i="4"/>
  <c r="C133" i="4"/>
  <c r="C85" i="4"/>
  <c r="C37" i="4"/>
  <c r="D289" i="4"/>
  <c r="D253" i="4"/>
  <c r="D205" i="4"/>
  <c r="D157" i="4"/>
  <c r="D109" i="4"/>
  <c r="D61" i="4"/>
  <c r="D37" i="4"/>
  <c r="E289" i="4"/>
  <c r="E253" i="4"/>
  <c r="E12" i="4"/>
  <c r="C300" i="4"/>
  <c r="C288" i="4"/>
  <c r="C276" i="4"/>
  <c r="C264" i="4"/>
  <c r="C252" i="4"/>
  <c r="C240" i="4"/>
  <c r="C228" i="4"/>
  <c r="C216" i="4"/>
  <c r="C204" i="4"/>
  <c r="C192" i="4"/>
  <c r="C180" i="4"/>
  <c r="C168" i="4"/>
  <c r="C156" i="4"/>
  <c r="C144" i="4"/>
  <c r="C132" i="4"/>
  <c r="C120" i="4"/>
  <c r="C108" i="4"/>
  <c r="C96" i="4"/>
  <c r="C84" i="4"/>
  <c r="C72" i="4"/>
  <c r="C60" i="4"/>
  <c r="C48" i="4"/>
  <c r="C36" i="4"/>
  <c r="C24" i="4"/>
  <c r="C12" i="4"/>
  <c r="D300" i="4"/>
  <c r="D288" i="4"/>
  <c r="D276" i="4"/>
  <c r="D264" i="4"/>
  <c r="D252" i="4"/>
  <c r="D240" i="4"/>
  <c r="D228" i="4"/>
  <c r="D216" i="4"/>
  <c r="D204" i="4"/>
  <c r="D192" i="4"/>
  <c r="D180" i="4"/>
  <c r="D168" i="4"/>
  <c r="D156" i="4"/>
  <c r="D144" i="4"/>
  <c r="D132" i="4"/>
  <c r="D120" i="4"/>
  <c r="D108" i="4"/>
  <c r="D96" i="4"/>
  <c r="D84" i="4"/>
  <c r="D72" i="4"/>
  <c r="D60" i="4"/>
  <c r="D48" i="4"/>
  <c r="D36" i="4"/>
  <c r="D24" i="4"/>
  <c r="D12" i="4"/>
  <c r="E300" i="4"/>
  <c r="E288" i="4"/>
  <c r="E276" i="4"/>
  <c r="E264" i="4"/>
  <c r="E252" i="4"/>
  <c r="E238" i="4"/>
  <c r="E192" i="4"/>
  <c r="E144" i="4"/>
  <c r="E96" i="4"/>
  <c r="C6" i="4"/>
  <c r="C159" i="4"/>
  <c r="C229" i="4"/>
  <c r="C121" i="4"/>
  <c r="C25" i="4"/>
  <c r="D241" i="4"/>
  <c r="D181" i="4"/>
  <c r="D85" i="4"/>
  <c r="D13" i="4"/>
  <c r="E154" i="4"/>
  <c r="C299" i="4"/>
  <c r="C287" i="4"/>
  <c r="C275" i="4"/>
  <c r="C263" i="4"/>
  <c r="C251" i="4"/>
  <c r="C239" i="4"/>
  <c r="C227" i="4"/>
  <c r="C215" i="4"/>
  <c r="C203" i="4"/>
  <c r="C191" i="4"/>
  <c r="C179" i="4"/>
  <c r="C167" i="4"/>
  <c r="C155" i="4"/>
  <c r="C143" i="4"/>
  <c r="C131" i="4"/>
  <c r="C119" i="4"/>
  <c r="C107" i="4"/>
  <c r="C95" i="4"/>
  <c r="C83" i="4"/>
  <c r="C71" i="4"/>
  <c r="C59" i="4"/>
  <c r="C47" i="4"/>
  <c r="C35" i="4"/>
  <c r="C23" i="4"/>
  <c r="C11" i="4"/>
  <c r="D299" i="4"/>
  <c r="D287" i="4"/>
  <c r="D275" i="4"/>
  <c r="D263" i="4"/>
  <c r="D251" i="4"/>
  <c r="D239" i="4"/>
  <c r="D227" i="4"/>
  <c r="D215" i="4"/>
  <c r="D203" i="4"/>
  <c r="D191" i="4"/>
  <c r="D179" i="4"/>
  <c r="D167" i="4"/>
  <c r="D155" i="4"/>
  <c r="D143" i="4"/>
  <c r="D131" i="4"/>
  <c r="D119" i="4"/>
  <c r="D107" i="4"/>
  <c r="D95" i="4"/>
  <c r="D83" i="4"/>
  <c r="D71" i="4"/>
  <c r="D59" i="4"/>
  <c r="D47" i="4"/>
  <c r="D35" i="4"/>
  <c r="D23" i="4"/>
  <c r="D11" i="4"/>
  <c r="E299" i="4"/>
  <c r="E287" i="4"/>
  <c r="E275" i="4"/>
  <c r="E263" i="4"/>
  <c r="E251" i="4"/>
  <c r="E236" i="4"/>
  <c r="E191" i="4"/>
  <c r="E143" i="4"/>
  <c r="E95" i="4"/>
  <c r="C294" i="4"/>
  <c r="C162" i="4"/>
  <c r="C42" i="4"/>
  <c r="D174" i="4"/>
  <c r="E282" i="4"/>
  <c r="C51" i="4"/>
  <c r="C301" i="4"/>
  <c r="C241" i="4"/>
  <c r="C181" i="4"/>
  <c r="C157" i="4"/>
  <c r="C109" i="4"/>
  <c r="C73" i="4"/>
  <c r="D301" i="4"/>
  <c r="D265" i="4"/>
  <c r="D217" i="4"/>
  <c r="D169" i="4"/>
  <c r="D121" i="4"/>
  <c r="D73" i="4"/>
  <c r="D25" i="4"/>
  <c r="E277" i="4"/>
  <c r="E239" i="4"/>
  <c r="E106" i="4"/>
  <c r="C298" i="4"/>
  <c r="C286" i="4"/>
  <c r="C274" i="4"/>
  <c r="C262" i="4"/>
  <c r="C250" i="4"/>
  <c r="C238" i="4"/>
  <c r="C226" i="4"/>
  <c r="C214" i="4"/>
  <c r="C202" i="4"/>
  <c r="C190" i="4"/>
  <c r="C178" i="4"/>
  <c r="C166" i="4"/>
  <c r="C154" i="4"/>
  <c r="C142" i="4"/>
  <c r="C130" i="4"/>
  <c r="C118" i="4"/>
  <c r="C106" i="4"/>
  <c r="C94" i="4"/>
  <c r="C82" i="4"/>
  <c r="C70" i="4"/>
  <c r="C58" i="4"/>
  <c r="C46" i="4"/>
  <c r="C34" i="4"/>
  <c r="C22" i="4"/>
  <c r="C10" i="4"/>
  <c r="D298" i="4"/>
  <c r="D286" i="4"/>
  <c r="D274" i="4"/>
  <c r="D262" i="4"/>
  <c r="D250" i="4"/>
  <c r="D238" i="4"/>
  <c r="D226" i="4"/>
  <c r="D214" i="4"/>
  <c r="D202" i="4"/>
  <c r="D190" i="4"/>
  <c r="D178" i="4"/>
  <c r="D166" i="4"/>
  <c r="D154" i="4"/>
  <c r="D142" i="4"/>
  <c r="D130" i="4"/>
  <c r="D118" i="4"/>
  <c r="D106" i="4"/>
  <c r="D94" i="4"/>
  <c r="D82" i="4"/>
  <c r="D70" i="4"/>
  <c r="D58" i="4"/>
  <c r="D46" i="4"/>
  <c r="D34" i="4"/>
  <c r="D22" i="4"/>
  <c r="D10" i="4"/>
  <c r="E298" i="4"/>
  <c r="E286" i="4"/>
  <c r="E274" i="4"/>
  <c r="E262" i="4"/>
  <c r="E250" i="4"/>
  <c r="E228" i="4"/>
  <c r="E190" i="4"/>
  <c r="E142" i="4"/>
  <c r="E94" i="4"/>
  <c r="C246" i="4"/>
  <c r="C198" i="4"/>
  <c r="C126" i="4"/>
  <c r="C90" i="4"/>
  <c r="C18" i="4"/>
  <c r="D270" i="4"/>
  <c r="D210" i="4"/>
  <c r="D150" i="4"/>
  <c r="D102" i="4"/>
  <c r="D54" i="4"/>
  <c r="E294" i="4"/>
  <c r="E216" i="4"/>
  <c r="C111" i="4"/>
  <c r="C277" i="4"/>
  <c r="C217" i="4"/>
  <c r="C145" i="4"/>
  <c r="C61" i="4"/>
  <c r="D277" i="4"/>
  <c r="D193" i="4"/>
  <c r="D145" i="4"/>
  <c r="D97" i="4"/>
  <c r="D49" i="4"/>
  <c r="E265" i="4"/>
  <c r="E202" i="4"/>
  <c r="C297" i="4"/>
  <c r="C285" i="4"/>
  <c r="C273" i="4"/>
  <c r="C261" i="4"/>
  <c r="C249" i="4"/>
  <c r="C237" i="4"/>
  <c r="C225" i="4"/>
  <c r="C213" i="4"/>
  <c r="C201" i="4"/>
  <c r="C189" i="4"/>
  <c r="C177" i="4"/>
  <c r="C165" i="4"/>
  <c r="C153" i="4"/>
  <c r="C141" i="4"/>
  <c r="C129" i="4"/>
  <c r="C117" i="4"/>
  <c r="C105" i="4"/>
  <c r="C93" i="4"/>
  <c r="C81" i="4"/>
  <c r="C69" i="4"/>
  <c r="C57" i="4"/>
  <c r="C45" i="4"/>
  <c r="C33" i="4"/>
  <c r="C21" i="4"/>
  <c r="C9" i="4"/>
  <c r="D297" i="4"/>
  <c r="D285" i="4"/>
  <c r="D273" i="4"/>
  <c r="D261" i="4"/>
  <c r="D249" i="4"/>
  <c r="D237" i="4"/>
  <c r="D225" i="4"/>
  <c r="D213" i="4"/>
  <c r="D201" i="4"/>
  <c r="D189" i="4"/>
  <c r="D177" i="4"/>
  <c r="D165" i="4"/>
  <c r="D153" i="4"/>
  <c r="D141" i="4"/>
  <c r="D129" i="4"/>
  <c r="D117" i="4"/>
  <c r="D105" i="4"/>
  <c r="D93" i="4"/>
  <c r="D81" i="4"/>
  <c r="D69" i="4"/>
  <c r="D57" i="4"/>
  <c r="D45" i="4"/>
  <c r="D33" i="4"/>
  <c r="D21" i="4"/>
  <c r="D9" i="4"/>
  <c r="E297" i="4"/>
  <c r="E285" i="4"/>
  <c r="E273" i="4"/>
  <c r="E261" i="4"/>
  <c r="E249" i="4"/>
  <c r="E227" i="4"/>
  <c r="E180" i="4"/>
  <c r="E132" i="4"/>
  <c r="E84" i="4"/>
  <c r="C258" i="4"/>
  <c r="C114" i="4"/>
  <c r="D282" i="4"/>
  <c r="D162" i="4"/>
  <c r="D78" i="4"/>
  <c r="D6" i="4"/>
  <c r="E246" i="4"/>
  <c r="E72" i="4"/>
  <c r="C135" i="4"/>
  <c r="C265" i="4"/>
  <c r="C193" i="4"/>
  <c r="C97" i="4"/>
  <c r="C13" i="4"/>
  <c r="D229" i="4"/>
  <c r="D133" i="4"/>
  <c r="E301" i="4"/>
  <c r="C296" i="4"/>
  <c r="C284" i="4"/>
  <c r="C272" i="4"/>
  <c r="C260" i="4"/>
  <c r="C248" i="4"/>
  <c r="C236" i="4"/>
  <c r="C224" i="4"/>
  <c r="C212" i="4"/>
  <c r="C200" i="4"/>
  <c r="C188" i="4"/>
  <c r="C176" i="4"/>
  <c r="C164" i="4"/>
  <c r="C152" i="4"/>
  <c r="C140" i="4"/>
  <c r="C128" i="4"/>
  <c r="C116" i="4"/>
  <c r="C104" i="4"/>
  <c r="C92" i="4"/>
  <c r="C80" i="4"/>
  <c r="C68" i="4"/>
  <c r="C56" i="4"/>
  <c r="C44" i="4"/>
  <c r="C32" i="4"/>
  <c r="C20" i="4"/>
  <c r="C8" i="4"/>
  <c r="D296" i="4"/>
  <c r="D284" i="4"/>
  <c r="D272" i="4"/>
  <c r="D260" i="4"/>
  <c r="D248" i="4"/>
  <c r="D236" i="4"/>
  <c r="D224" i="4"/>
  <c r="D212" i="4"/>
  <c r="D200" i="4"/>
  <c r="D188" i="4"/>
  <c r="D176" i="4"/>
  <c r="D164" i="4"/>
  <c r="D152" i="4"/>
  <c r="D140" i="4"/>
  <c r="D128" i="4"/>
  <c r="D116" i="4"/>
  <c r="D104" i="4"/>
  <c r="D92" i="4"/>
  <c r="D80" i="4"/>
  <c r="D68" i="4"/>
  <c r="D56" i="4"/>
  <c r="D44" i="4"/>
  <c r="D32" i="4"/>
  <c r="D20" i="4"/>
  <c r="D8" i="4"/>
  <c r="E296" i="4"/>
  <c r="E284" i="4"/>
  <c r="E272" i="4"/>
  <c r="E260" i="4"/>
  <c r="E248" i="4"/>
  <c r="E226" i="4"/>
  <c r="E179" i="4"/>
  <c r="E131" i="4"/>
  <c r="E83" i="4"/>
  <c r="E236" i="3"/>
  <c r="E125" i="3"/>
  <c r="H272" i="3"/>
  <c r="H94" i="3"/>
  <c r="E118" i="3"/>
  <c r="H262" i="3"/>
  <c r="H200" i="3"/>
  <c r="E104" i="3"/>
  <c r="H70" i="3"/>
  <c r="H212" i="3"/>
  <c r="H8" i="3"/>
  <c r="E293" i="3"/>
  <c r="H161" i="3"/>
  <c r="E245" i="3"/>
  <c r="I245" i="3" s="1"/>
  <c r="E137" i="3"/>
  <c r="I137" i="3" s="1"/>
  <c r="E53" i="3"/>
  <c r="E197" i="3"/>
  <c r="E127" i="3"/>
  <c r="I127" i="3" s="1"/>
  <c r="E89" i="3"/>
  <c r="H17" i="3"/>
  <c r="E185" i="3"/>
  <c r="E77" i="3"/>
  <c r="E233" i="3"/>
  <c r="E173" i="3"/>
  <c r="I173" i="3" s="1"/>
  <c r="E82" i="3"/>
  <c r="H113" i="3"/>
  <c r="E29" i="3"/>
  <c r="E179" i="3"/>
  <c r="E107" i="3"/>
  <c r="H221" i="3"/>
  <c r="E298" i="3"/>
  <c r="E167" i="3"/>
  <c r="E215" i="3"/>
  <c r="E191" i="3"/>
  <c r="I191" i="3" s="1"/>
  <c r="E203" i="3"/>
  <c r="E65" i="3"/>
  <c r="E214" i="3"/>
  <c r="E299" i="3"/>
  <c r="E101" i="3"/>
  <c r="E281" i="3"/>
  <c r="E209" i="3"/>
  <c r="E269" i="3"/>
  <c r="E136" i="3"/>
  <c r="E178" i="3"/>
  <c r="I178" i="3" s="1"/>
  <c r="H41" i="3"/>
  <c r="H115" i="3"/>
  <c r="E259" i="3"/>
  <c r="E247" i="3"/>
  <c r="E151" i="3"/>
  <c r="I151" i="3" s="1"/>
  <c r="H79" i="3"/>
  <c r="E199" i="3"/>
  <c r="I199" i="3" s="1"/>
  <c r="E31" i="3"/>
  <c r="H55" i="3"/>
  <c r="H43" i="3"/>
  <c r="E295" i="3"/>
  <c r="I295" i="3" s="1"/>
  <c r="E103" i="3"/>
  <c r="H175" i="3"/>
  <c r="H67" i="3"/>
  <c r="E235" i="3"/>
  <c r="E139" i="3"/>
  <c r="E67" i="3"/>
  <c r="H257" i="3"/>
  <c r="E283" i="3"/>
  <c r="E187" i="3"/>
  <c r="E19" i="3"/>
  <c r="H247" i="3"/>
  <c r="H163" i="3"/>
  <c r="E271" i="3"/>
  <c r="E223" i="3"/>
  <c r="E91" i="3"/>
  <c r="E7" i="3"/>
  <c r="I279" i="3"/>
  <c r="E292" i="3"/>
  <c r="E244" i="3"/>
  <c r="E76" i="3"/>
  <c r="I76" i="3" s="1"/>
  <c r="E208" i="3"/>
  <c r="I208" i="3" s="1"/>
  <c r="H16" i="3"/>
  <c r="H124" i="3"/>
  <c r="H220" i="3"/>
  <c r="E256" i="3"/>
  <c r="H76" i="3"/>
  <c r="E160" i="3"/>
  <c r="E285" i="3"/>
  <c r="I285" i="3" s="1"/>
  <c r="H129" i="3"/>
  <c r="H211" i="3"/>
  <c r="H196" i="3"/>
  <c r="H112" i="3"/>
  <c r="E172" i="3"/>
  <c r="H292" i="3"/>
  <c r="E88" i="3"/>
  <c r="I88" i="3" s="1"/>
  <c r="H213" i="3"/>
  <c r="H141" i="3"/>
  <c r="H69" i="3"/>
  <c r="H273" i="3"/>
  <c r="H199" i="3"/>
  <c r="E186" i="3"/>
  <c r="E100" i="3"/>
  <c r="I100" i="3" s="1"/>
  <c r="H148" i="3"/>
  <c r="E280" i="3"/>
  <c r="H280" i="3"/>
  <c r="H149" i="3"/>
  <c r="H81" i="3"/>
  <c r="H256" i="3"/>
  <c r="H172" i="3"/>
  <c r="E196" i="3"/>
  <c r="E112" i="3"/>
  <c r="I112" i="3" s="1"/>
  <c r="E52" i="3"/>
  <c r="E16" i="3"/>
  <c r="I16" i="3" s="1"/>
  <c r="H136" i="3"/>
  <c r="H88" i="3"/>
  <c r="E4" i="3"/>
  <c r="E28" i="3"/>
  <c r="E232" i="3"/>
  <c r="H268" i="3"/>
  <c r="H40" i="3"/>
  <c r="E249" i="3"/>
  <c r="E148" i="3"/>
  <c r="E64" i="3"/>
  <c r="E268" i="3"/>
  <c r="H232" i="3"/>
  <c r="H160" i="3"/>
  <c r="H64" i="3"/>
  <c r="H28" i="3"/>
  <c r="E40" i="3"/>
  <c r="I40" i="3" s="1"/>
  <c r="H184" i="3"/>
  <c r="E162" i="3"/>
  <c r="H78" i="3"/>
  <c r="H198" i="3"/>
  <c r="E66" i="3"/>
  <c r="H42" i="3"/>
  <c r="E294" i="3"/>
  <c r="E258" i="3"/>
  <c r="H222" i="3"/>
  <c r="H234" i="3"/>
  <c r="E126" i="3"/>
  <c r="E282" i="3"/>
  <c r="H246" i="3"/>
  <c r="E54" i="3"/>
  <c r="E138" i="3"/>
  <c r="E90" i="3"/>
  <c r="H270" i="3"/>
  <c r="E30" i="3"/>
  <c r="H23" i="3"/>
  <c r="H18" i="3"/>
  <c r="C292" i="3"/>
  <c r="C280" i="3"/>
  <c r="C268" i="3"/>
  <c r="C256" i="3"/>
  <c r="C244" i="3"/>
  <c r="C232" i="3"/>
  <c r="C220" i="3"/>
  <c r="C208" i="3"/>
  <c r="C196" i="3"/>
  <c r="C184" i="3"/>
  <c r="C172" i="3"/>
  <c r="C160" i="3"/>
  <c r="C148" i="3"/>
  <c r="C136" i="3"/>
  <c r="C124" i="3"/>
  <c r="C112" i="3"/>
  <c r="C100" i="3"/>
  <c r="C88" i="3"/>
  <c r="C76" i="3"/>
  <c r="C64" i="3"/>
  <c r="C52" i="3"/>
  <c r="C40" i="3"/>
  <c r="C28" i="3"/>
  <c r="C16" i="3"/>
  <c r="C4" i="3"/>
  <c r="C281" i="3"/>
  <c r="C161" i="3"/>
  <c r="C65" i="3"/>
  <c r="C291" i="3"/>
  <c r="C279" i="3"/>
  <c r="C267" i="3"/>
  <c r="C255" i="3"/>
  <c r="C243" i="3"/>
  <c r="C231" i="3"/>
  <c r="C219" i="3"/>
  <c r="C207" i="3"/>
  <c r="C195" i="3"/>
  <c r="C183" i="3"/>
  <c r="C171" i="3"/>
  <c r="C159" i="3"/>
  <c r="C147" i="3"/>
  <c r="C135" i="3"/>
  <c r="C123" i="3"/>
  <c r="C111" i="3"/>
  <c r="C99" i="3"/>
  <c r="C87" i="3"/>
  <c r="C75" i="3"/>
  <c r="C63" i="3"/>
  <c r="C51" i="3"/>
  <c r="C39" i="3"/>
  <c r="C27" i="3"/>
  <c r="C15" i="3"/>
  <c r="C233" i="3"/>
  <c r="C137" i="3"/>
  <c r="C41" i="3"/>
  <c r="C278" i="3"/>
  <c r="C170" i="3"/>
  <c r="C110" i="3"/>
  <c r="C26" i="3"/>
  <c r="C301" i="3"/>
  <c r="C289" i="3"/>
  <c r="C277" i="3"/>
  <c r="C265" i="3"/>
  <c r="C253" i="3"/>
  <c r="C241" i="3"/>
  <c r="C229" i="3"/>
  <c r="C217" i="3"/>
  <c r="C205" i="3"/>
  <c r="C193" i="3"/>
  <c r="C181" i="3"/>
  <c r="C169" i="3"/>
  <c r="C157" i="3"/>
  <c r="C145" i="3"/>
  <c r="C133" i="3"/>
  <c r="C121" i="3"/>
  <c r="C109" i="3"/>
  <c r="C97" i="3"/>
  <c r="C85" i="3"/>
  <c r="C73" i="3"/>
  <c r="C61" i="3"/>
  <c r="C49" i="3"/>
  <c r="C37" i="3"/>
  <c r="C25" i="3"/>
  <c r="C13" i="3"/>
  <c r="C269" i="3"/>
  <c r="C197" i="3"/>
  <c r="C101" i="3"/>
  <c r="C302" i="3"/>
  <c r="C230" i="3"/>
  <c r="C146" i="3"/>
  <c r="C50" i="3"/>
  <c r="C300" i="3"/>
  <c r="C288" i="3"/>
  <c r="C276" i="3"/>
  <c r="C264" i="3"/>
  <c r="C252" i="3"/>
  <c r="C240" i="3"/>
  <c r="C228" i="3"/>
  <c r="C216" i="3"/>
  <c r="C204" i="3"/>
  <c r="C192" i="3"/>
  <c r="C180" i="3"/>
  <c r="C168" i="3"/>
  <c r="C156" i="3"/>
  <c r="C144" i="3"/>
  <c r="C132" i="3"/>
  <c r="C120" i="3"/>
  <c r="C108" i="3"/>
  <c r="C96" i="3"/>
  <c r="C84" i="3"/>
  <c r="C72" i="3"/>
  <c r="C60" i="3"/>
  <c r="C48" i="3"/>
  <c r="C36" i="3"/>
  <c r="C24" i="3"/>
  <c r="C12" i="3"/>
  <c r="C29" i="3"/>
  <c r="C242" i="3"/>
  <c r="C86" i="3"/>
  <c r="C299" i="3"/>
  <c r="C287" i="3"/>
  <c r="C275" i="3"/>
  <c r="C263" i="3"/>
  <c r="C251" i="3"/>
  <c r="C239" i="3"/>
  <c r="C227" i="3"/>
  <c r="C215" i="3"/>
  <c r="C203" i="3"/>
  <c r="C191" i="3"/>
  <c r="C179" i="3"/>
  <c r="C167" i="3"/>
  <c r="C155" i="3"/>
  <c r="C143" i="3"/>
  <c r="C131" i="3"/>
  <c r="C119" i="3"/>
  <c r="C107" i="3"/>
  <c r="C95" i="3"/>
  <c r="C83" i="3"/>
  <c r="C71" i="3"/>
  <c r="C59" i="3"/>
  <c r="C47" i="3"/>
  <c r="C35" i="3"/>
  <c r="C23" i="3"/>
  <c r="C11" i="3"/>
  <c r="C221" i="3"/>
  <c r="C113" i="3"/>
  <c r="C17" i="3"/>
  <c r="C218" i="3"/>
  <c r="C98" i="3"/>
  <c r="C298" i="3"/>
  <c r="C286" i="3"/>
  <c r="C274" i="3"/>
  <c r="C262" i="3"/>
  <c r="C250" i="3"/>
  <c r="C238" i="3"/>
  <c r="C226" i="3"/>
  <c r="C214" i="3"/>
  <c r="C202" i="3"/>
  <c r="C190" i="3"/>
  <c r="C178" i="3"/>
  <c r="C166" i="3"/>
  <c r="C154" i="3"/>
  <c r="C142" i="3"/>
  <c r="C130" i="3"/>
  <c r="C118" i="3"/>
  <c r="C106" i="3"/>
  <c r="C94" i="3"/>
  <c r="C82" i="3"/>
  <c r="C70" i="3"/>
  <c r="C58" i="3"/>
  <c r="C46" i="3"/>
  <c r="C34" i="3"/>
  <c r="C22" i="3"/>
  <c r="C10" i="3"/>
  <c r="C257" i="3"/>
  <c r="C173" i="3"/>
  <c r="C89" i="3"/>
  <c r="C266" i="3"/>
  <c r="C194" i="3"/>
  <c r="C134" i="3"/>
  <c r="C62" i="3"/>
  <c r="C297" i="3"/>
  <c r="C285" i="3"/>
  <c r="C273" i="3"/>
  <c r="C261" i="3"/>
  <c r="C249" i="3"/>
  <c r="C237" i="3"/>
  <c r="C225" i="3"/>
  <c r="C213" i="3"/>
  <c r="C201" i="3"/>
  <c r="C189" i="3"/>
  <c r="C177" i="3"/>
  <c r="C165" i="3"/>
  <c r="C153" i="3"/>
  <c r="C141" i="3"/>
  <c r="C129" i="3"/>
  <c r="C117" i="3"/>
  <c r="C105" i="3"/>
  <c r="C93" i="3"/>
  <c r="C81" i="3"/>
  <c r="C69" i="3"/>
  <c r="C57" i="3"/>
  <c r="C45" i="3"/>
  <c r="C33" i="3"/>
  <c r="C21" i="3"/>
  <c r="C9" i="3"/>
  <c r="C293" i="3"/>
  <c r="C185" i="3"/>
  <c r="C77" i="3"/>
  <c r="C206" i="3"/>
  <c r="C74" i="3"/>
  <c r="C296" i="3"/>
  <c r="C284" i="3"/>
  <c r="C272" i="3"/>
  <c r="C260" i="3"/>
  <c r="C248" i="3"/>
  <c r="C236" i="3"/>
  <c r="C224" i="3"/>
  <c r="C212" i="3"/>
  <c r="C200" i="3"/>
  <c r="C188" i="3"/>
  <c r="C176" i="3"/>
  <c r="C164" i="3"/>
  <c r="C152" i="3"/>
  <c r="C140" i="3"/>
  <c r="C128" i="3"/>
  <c r="C116" i="3"/>
  <c r="C104" i="3"/>
  <c r="C92" i="3"/>
  <c r="C80" i="3"/>
  <c r="C68" i="3"/>
  <c r="C56" i="3"/>
  <c r="C44" i="3"/>
  <c r="C32" i="3"/>
  <c r="C20" i="3"/>
  <c r="C8" i="3"/>
  <c r="C209" i="3"/>
  <c r="C125" i="3"/>
  <c r="C5" i="3"/>
  <c r="C254" i="3"/>
  <c r="C158" i="3"/>
  <c r="C14" i="3"/>
  <c r="C295" i="3"/>
  <c r="C283" i="3"/>
  <c r="C271" i="3"/>
  <c r="C259" i="3"/>
  <c r="C247" i="3"/>
  <c r="C235" i="3"/>
  <c r="C223" i="3"/>
  <c r="C211" i="3"/>
  <c r="C199" i="3"/>
  <c r="C187" i="3"/>
  <c r="C175" i="3"/>
  <c r="C163" i="3"/>
  <c r="C151" i="3"/>
  <c r="C139" i="3"/>
  <c r="C127" i="3"/>
  <c r="C115" i="3"/>
  <c r="C103" i="3"/>
  <c r="C91" i="3"/>
  <c r="C79" i="3"/>
  <c r="C67" i="3"/>
  <c r="C55" i="3"/>
  <c r="C43" i="3"/>
  <c r="C31" i="3"/>
  <c r="C19" i="3"/>
  <c r="C7" i="3"/>
  <c r="C245" i="3"/>
  <c r="C149" i="3"/>
  <c r="C53" i="3"/>
  <c r="C290" i="3"/>
  <c r="C182" i="3"/>
  <c r="C122" i="3"/>
  <c r="C38" i="3"/>
  <c r="C294" i="3"/>
  <c r="C282" i="3"/>
  <c r="C270" i="3"/>
  <c r="C258" i="3"/>
  <c r="C246" i="3"/>
  <c r="C234" i="3"/>
  <c r="C222" i="3"/>
  <c r="C210" i="3"/>
  <c r="C198" i="3"/>
  <c r="C186" i="3"/>
  <c r="C174" i="3"/>
  <c r="C162" i="3"/>
  <c r="C150" i="3"/>
  <c r="C138" i="3"/>
  <c r="C126" i="3"/>
  <c r="C114" i="3"/>
  <c r="C102" i="3"/>
  <c r="C90" i="3"/>
  <c r="C78" i="3"/>
  <c r="C66" i="3"/>
  <c r="C54" i="3"/>
  <c r="C42" i="3"/>
  <c r="C30" i="3"/>
  <c r="C18" i="3"/>
  <c r="C6" i="3"/>
  <c r="H244" i="3"/>
  <c r="H208" i="3"/>
  <c r="E47" i="3"/>
  <c r="E300" i="3"/>
  <c r="E72" i="3"/>
  <c r="E83" i="3"/>
  <c r="E156" i="3"/>
  <c r="E252" i="3"/>
  <c r="H216" i="3"/>
  <c r="E276" i="3"/>
  <c r="E165" i="3"/>
  <c r="E132" i="3"/>
  <c r="E129" i="3"/>
  <c r="I129" i="3" s="1"/>
  <c r="E11" i="3"/>
  <c r="H288" i="3"/>
  <c r="H100" i="3"/>
  <c r="E261" i="3"/>
  <c r="I261" i="3" s="1"/>
  <c r="H285" i="3"/>
  <c r="H201" i="3"/>
  <c r="E124" i="3"/>
  <c r="H192" i="3"/>
  <c r="H12" i="3"/>
  <c r="E228" i="3"/>
  <c r="E204" i="3"/>
  <c r="H240" i="3"/>
  <c r="H96" i="3"/>
  <c r="H36" i="3"/>
  <c r="E180" i="3"/>
  <c r="E108" i="3"/>
  <c r="E48" i="3"/>
  <c r="H264" i="3"/>
  <c r="E24" i="3"/>
  <c r="H60" i="3"/>
  <c r="E84" i="3"/>
  <c r="H120" i="3"/>
  <c r="H144" i="3"/>
  <c r="E168" i="3"/>
  <c r="E164" i="3"/>
  <c r="E32" i="3"/>
  <c r="H191" i="3"/>
  <c r="H174" i="3"/>
  <c r="H80" i="3"/>
  <c r="E140" i="3"/>
  <c r="E260" i="3"/>
  <c r="E176" i="3"/>
  <c r="E44" i="3"/>
  <c r="H92" i="3"/>
  <c r="H71" i="3"/>
  <c r="E296" i="3"/>
  <c r="E152" i="3"/>
  <c r="E20" i="3"/>
  <c r="E128" i="3"/>
  <c r="H107" i="3"/>
  <c r="H263" i="3"/>
  <c r="E145" i="3"/>
  <c r="E133" i="3"/>
  <c r="H299" i="3"/>
  <c r="H179" i="3"/>
  <c r="H143" i="3"/>
  <c r="H59" i="3"/>
  <c r="E275" i="3"/>
  <c r="I275" i="3" s="1"/>
  <c r="E227" i="3"/>
  <c r="I227" i="3" s="1"/>
  <c r="E131" i="3"/>
  <c r="E95" i="3"/>
  <c r="I95" i="3" s="1"/>
  <c r="H155" i="3"/>
  <c r="E287" i="3"/>
  <c r="I287" i="3" s="1"/>
  <c r="E239" i="3"/>
  <c r="H35" i="3"/>
  <c r="H119" i="3"/>
  <c r="H203" i="3"/>
  <c r="E251" i="3"/>
  <c r="H167" i="3"/>
  <c r="H215" i="3"/>
  <c r="E14" i="3"/>
  <c r="I272" i="3"/>
  <c r="I125" i="3"/>
  <c r="I111" i="3"/>
  <c r="I185" i="3"/>
  <c r="I115" i="3"/>
  <c r="I248" i="3"/>
  <c r="I177" i="3"/>
  <c r="I101" i="3"/>
  <c r="H63" i="3"/>
  <c r="I247" i="3"/>
  <c r="I175" i="3"/>
  <c r="I246" i="3"/>
  <c r="I236" i="3"/>
  <c r="I161" i="3"/>
  <c r="H279" i="3"/>
  <c r="I153" i="3"/>
  <c r="I59" i="3"/>
  <c r="I222" i="3"/>
  <c r="I150" i="3"/>
  <c r="I42" i="3"/>
  <c r="I212" i="3"/>
  <c r="I149" i="3"/>
  <c r="I210" i="3"/>
  <c r="I189" i="3"/>
  <c r="I274" i="3"/>
  <c r="I45" i="3"/>
  <c r="E291" i="3"/>
  <c r="E243" i="3"/>
  <c r="E207" i="3"/>
  <c r="E147" i="3"/>
  <c r="E123" i="3"/>
  <c r="I219" i="3"/>
  <c r="I71" i="3"/>
  <c r="H302" i="3"/>
  <c r="H290" i="3"/>
  <c r="H278" i="3"/>
  <c r="H266" i="3"/>
  <c r="H254" i="3"/>
  <c r="H242" i="3"/>
  <c r="H230" i="3"/>
  <c r="H218" i="3"/>
  <c r="H206" i="3"/>
  <c r="H146" i="3"/>
  <c r="H134" i="3"/>
  <c r="H122" i="3"/>
  <c r="H110" i="3"/>
  <c r="I110" i="3"/>
  <c r="H98" i="3"/>
  <c r="I98" i="3"/>
  <c r="E302" i="3"/>
  <c r="E290" i="3"/>
  <c r="E278" i="3"/>
  <c r="E266" i="3"/>
  <c r="E254" i="3"/>
  <c r="E242" i="3"/>
  <c r="E230" i="3"/>
  <c r="E218" i="3"/>
  <c r="E206" i="3"/>
  <c r="E194" i="3"/>
  <c r="E182" i="3"/>
  <c r="E170" i="3"/>
  <c r="E158" i="3"/>
  <c r="E146" i="3"/>
  <c r="E134" i="3"/>
  <c r="E122" i="3"/>
  <c r="I69" i="3"/>
  <c r="I56" i="3"/>
  <c r="I43" i="3"/>
  <c r="I17" i="3"/>
  <c r="H291" i="3"/>
  <c r="H219" i="3"/>
  <c r="H75" i="3"/>
  <c r="I214" i="3"/>
  <c r="I99" i="3"/>
  <c r="I39" i="3"/>
  <c r="I301" i="3"/>
  <c r="H301" i="3"/>
  <c r="I289" i="3"/>
  <c r="H289" i="3"/>
  <c r="I277" i="3"/>
  <c r="H277" i="3"/>
  <c r="I265" i="3"/>
  <c r="H265" i="3"/>
  <c r="I253" i="3"/>
  <c r="H253" i="3"/>
  <c r="I241" i="3"/>
  <c r="H241" i="3"/>
  <c r="I229" i="3"/>
  <c r="H229" i="3"/>
  <c r="I217" i="3"/>
  <c r="H217" i="3"/>
  <c r="I205" i="3"/>
  <c r="H205" i="3"/>
  <c r="H193" i="3"/>
  <c r="I193" i="3"/>
  <c r="H181" i="3"/>
  <c r="I181" i="3"/>
  <c r="H169" i="3"/>
  <c r="I169" i="3"/>
  <c r="H157" i="3"/>
  <c r="I157" i="3"/>
  <c r="H121" i="3"/>
  <c r="E121" i="3"/>
  <c r="I121" i="3" s="1"/>
  <c r="H109" i="3"/>
  <c r="E109" i="3"/>
  <c r="H97" i="3"/>
  <c r="E97" i="3"/>
  <c r="H85" i="3"/>
  <c r="E85" i="3"/>
  <c r="I85" i="3" s="1"/>
  <c r="H73" i="3"/>
  <c r="E73" i="3"/>
  <c r="H61" i="3"/>
  <c r="E61" i="3"/>
  <c r="H49" i="3"/>
  <c r="E49" i="3"/>
  <c r="H37" i="3"/>
  <c r="E37" i="3"/>
  <c r="H25" i="3"/>
  <c r="E25" i="3"/>
  <c r="H13" i="3"/>
  <c r="E13" i="3"/>
  <c r="I13" i="3" s="1"/>
  <c r="I184" i="3"/>
  <c r="I6" i="3"/>
  <c r="E255" i="3"/>
  <c r="E195" i="3"/>
  <c r="I120" i="3"/>
  <c r="I81" i="3"/>
  <c r="I68" i="3"/>
  <c r="I55" i="3"/>
  <c r="H274" i="3"/>
  <c r="H202" i="3"/>
  <c r="H130" i="3"/>
  <c r="H58" i="3"/>
  <c r="I298" i="3"/>
  <c r="I96" i="3"/>
  <c r="I5" i="3"/>
  <c r="I288" i="3"/>
  <c r="I264" i="3"/>
  <c r="I240" i="3"/>
  <c r="I216" i="3"/>
  <c r="I192" i="3"/>
  <c r="I144" i="3"/>
  <c r="I93" i="3"/>
  <c r="I80" i="3"/>
  <c r="I41" i="3"/>
  <c r="E15" i="3"/>
  <c r="H3" i="3"/>
  <c r="H231" i="3"/>
  <c r="H159" i="3"/>
  <c r="H87" i="3"/>
  <c r="H15" i="3"/>
  <c r="I270" i="3"/>
  <c r="I211" i="3"/>
  <c r="I63" i="3"/>
  <c r="I35" i="3"/>
  <c r="I262" i="3"/>
  <c r="I87" i="3"/>
  <c r="I79" i="3"/>
  <c r="E27" i="3"/>
  <c r="I82" i="3"/>
  <c r="E286" i="3"/>
  <c r="E238" i="3"/>
  <c r="I117" i="3"/>
  <c r="I65" i="3"/>
  <c r="E26" i="3"/>
  <c r="I237" i="3"/>
  <c r="I225" i="3"/>
  <c r="I213" i="3"/>
  <c r="I141" i="3"/>
  <c r="I116" i="3"/>
  <c r="E51" i="3"/>
  <c r="E38" i="3"/>
  <c r="H298" i="3"/>
  <c r="H226" i="3"/>
  <c r="H154" i="3"/>
  <c r="H82" i="3"/>
  <c r="H10" i="3"/>
  <c r="I234" i="3"/>
  <c r="I201" i="3"/>
  <c r="I174" i="3"/>
  <c r="I113" i="3"/>
  <c r="I171" i="3"/>
  <c r="I263" i="3"/>
  <c r="I203" i="3"/>
  <c r="I58" i="3"/>
  <c r="E250" i="3"/>
  <c r="I250" i="3" s="1"/>
  <c r="E190" i="3"/>
  <c r="I190" i="3" s="1"/>
  <c r="E130" i="3"/>
  <c r="I130" i="3" s="1"/>
  <c r="I200" i="3"/>
  <c r="I188" i="3"/>
  <c r="I102" i="3"/>
  <c r="E50" i="3"/>
  <c r="I36" i="3"/>
  <c r="E10" i="3"/>
  <c r="H255" i="3"/>
  <c r="H183" i="3"/>
  <c r="H111" i="3"/>
  <c r="H39" i="3"/>
  <c r="I231" i="3"/>
  <c r="E267" i="3"/>
  <c r="E183" i="3"/>
  <c r="I57" i="3"/>
  <c r="I155" i="3"/>
  <c r="E226" i="3"/>
  <c r="I226" i="3" s="1"/>
  <c r="E166" i="3"/>
  <c r="I104" i="3"/>
  <c r="I12" i="3"/>
  <c r="H171" i="3"/>
  <c r="I114" i="3"/>
  <c r="E75" i="3"/>
  <c r="E62" i="3"/>
  <c r="E22" i="3"/>
  <c r="I9" i="3"/>
  <c r="I284" i="3"/>
  <c r="I198" i="3"/>
  <c r="I78" i="3"/>
  <c r="I23" i="3"/>
  <c r="I196" i="3"/>
  <c r="E159" i="3"/>
  <c r="I167" i="3"/>
  <c r="I105" i="3"/>
  <c r="I106" i="3"/>
  <c r="I70" i="3"/>
  <c r="E154" i="3"/>
  <c r="I154" i="3" s="1"/>
  <c r="I91" i="3"/>
  <c r="I297" i="3"/>
  <c r="E74" i="3"/>
  <c r="I60" i="3"/>
  <c r="E34" i="3"/>
  <c r="I34" i="3" s="1"/>
  <c r="I21" i="3"/>
  <c r="I8" i="3"/>
  <c r="H123" i="3"/>
  <c r="I224" i="3"/>
  <c r="I197" i="3"/>
  <c r="I18" i="3"/>
  <c r="I293" i="3"/>
  <c r="I257" i="3"/>
  <c r="I221" i="3"/>
  <c r="I89" i="3"/>
  <c r="I220" i="3"/>
  <c r="E135" i="3"/>
  <c r="I299" i="3"/>
  <c r="I143" i="3"/>
  <c r="I92" i="3"/>
  <c r="I118" i="3"/>
  <c r="E202" i="3"/>
  <c r="I202" i="3" s="1"/>
  <c r="E142" i="3"/>
  <c r="H99" i="3"/>
  <c r="I273" i="3"/>
  <c r="E86" i="3"/>
  <c r="E46" i="3"/>
  <c r="I46" i="3" s="1"/>
  <c r="I33" i="3"/>
  <c r="H250" i="3"/>
  <c r="H178" i="3"/>
  <c r="H106" i="3"/>
  <c r="H34" i="3"/>
  <c r="I223" i="3"/>
  <c r="I163" i="3"/>
  <c r="I136" i="3"/>
  <c r="I94" i="3"/>
  <c r="I119" i="3"/>
  <c r="I3" i="3"/>
  <c r="J4" i="4" l="1"/>
  <c r="I4" i="4"/>
  <c r="F150" i="4"/>
  <c r="K150" i="4" s="1"/>
  <c r="L150" i="4"/>
  <c r="F147" i="4"/>
  <c r="K147" i="4" s="1"/>
  <c r="L147" i="4"/>
  <c r="L301" i="4"/>
  <c r="F301" i="4"/>
  <c r="K301" i="4" s="1"/>
  <c r="L297" i="4"/>
  <c r="F297" i="4"/>
  <c r="K297" i="4" s="1"/>
  <c r="L95" i="4"/>
  <c r="F95" i="4"/>
  <c r="K95" i="4" s="1"/>
  <c r="L238" i="4"/>
  <c r="F238" i="4"/>
  <c r="K238" i="4" s="1"/>
  <c r="F266" i="4"/>
  <c r="K266" i="4" s="1"/>
  <c r="L266" i="4"/>
  <c r="F267" i="4"/>
  <c r="K267" i="4" s="1"/>
  <c r="L267" i="4"/>
  <c r="L256" i="4"/>
  <c r="F256" i="4"/>
  <c r="K256" i="4" s="1"/>
  <c r="L215" i="4"/>
  <c r="F215" i="4"/>
  <c r="K215" i="4" s="1"/>
  <c r="L23" i="4"/>
  <c r="F23" i="4"/>
  <c r="K23" i="4" s="1"/>
  <c r="L189" i="4"/>
  <c r="F189" i="4"/>
  <c r="K189" i="4" s="1"/>
  <c r="L45" i="4"/>
  <c r="F45" i="4"/>
  <c r="K45" i="4" s="1"/>
  <c r="L116" i="4"/>
  <c r="F116" i="4"/>
  <c r="K116" i="4" s="1"/>
  <c r="L211" i="4"/>
  <c r="F211" i="4"/>
  <c r="K211" i="4" s="1"/>
  <c r="F67" i="4"/>
  <c r="K67" i="4" s="1"/>
  <c r="L67" i="4"/>
  <c r="L162" i="4"/>
  <c r="F162" i="4"/>
  <c r="K162" i="4" s="1"/>
  <c r="L18" i="4"/>
  <c r="F18" i="4"/>
  <c r="K18" i="4" s="1"/>
  <c r="F125" i="4"/>
  <c r="K125" i="4" s="1"/>
  <c r="L125" i="4"/>
  <c r="L220" i="4"/>
  <c r="F220" i="4"/>
  <c r="K220" i="4" s="1"/>
  <c r="L76" i="4"/>
  <c r="F76" i="4"/>
  <c r="K76" i="4" s="1"/>
  <c r="F159" i="4"/>
  <c r="K159" i="4" s="1"/>
  <c r="L159" i="4"/>
  <c r="F15" i="4"/>
  <c r="K15" i="4" s="1"/>
  <c r="L15" i="4"/>
  <c r="L98" i="4"/>
  <c r="F98" i="4"/>
  <c r="K98" i="4" s="1"/>
  <c r="L193" i="4"/>
  <c r="F193" i="4"/>
  <c r="K193" i="4" s="1"/>
  <c r="L49" i="4"/>
  <c r="F49" i="4"/>
  <c r="K49" i="4" s="1"/>
  <c r="F295" i="4"/>
  <c r="K295" i="4" s="1"/>
  <c r="L295" i="4"/>
  <c r="L83" i="4"/>
  <c r="F83" i="4"/>
  <c r="K83" i="4" s="1"/>
  <c r="L113" i="4"/>
  <c r="F113" i="4"/>
  <c r="K113" i="4" s="1"/>
  <c r="L37" i="4"/>
  <c r="F37" i="4"/>
  <c r="K37" i="4" s="1"/>
  <c r="L131" i="4"/>
  <c r="F131" i="4"/>
  <c r="K131" i="4" s="1"/>
  <c r="L106" i="4"/>
  <c r="F106" i="4"/>
  <c r="K106" i="4" s="1"/>
  <c r="L191" i="4"/>
  <c r="F191" i="4"/>
  <c r="K191" i="4" s="1"/>
  <c r="L264" i="4"/>
  <c r="F264" i="4"/>
  <c r="K264" i="4" s="1"/>
  <c r="F290" i="4"/>
  <c r="K290" i="4" s="1"/>
  <c r="L290" i="4"/>
  <c r="F291" i="4"/>
  <c r="K291" i="4" s="1"/>
  <c r="L291" i="4"/>
  <c r="L280" i="4"/>
  <c r="F280" i="4"/>
  <c r="K280" i="4" s="1"/>
  <c r="F257" i="4"/>
  <c r="K257" i="4" s="1"/>
  <c r="L257" i="4"/>
  <c r="L70" i="4"/>
  <c r="F70" i="4"/>
  <c r="K70" i="4" s="1"/>
  <c r="L165" i="4"/>
  <c r="F165" i="4"/>
  <c r="K165" i="4" s="1"/>
  <c r="L21" i="4"/>
  <c r="F21" i="4"/>
  <c r="K21" i="4" s="1"/>
  <c r="F92" i="4"/>
  <c r="K92" i="4" s="1"/>
  <c r="L92" i="4"/>
  <c r="L187" i="4"/>
  <c r="F187" i="4"/>
  <c r="K187" i="4" s="1"/>
  <c r="L43" i="4"/>
  <c r="F43" i="4"/>
  <c r="K43" i="4" s="1"/>
  <c r="L138" i="4"/>
  <c r="F138" i="4"/>
  <c r="K138" i="4" s="1"/>
  <c r="F245" i="4"/>
  <c r="K245" i="4" s="1"/>
  <c r="L245" i="4"/>
  <c r="L101" i="4"/>
  <c r="F101" i="4"/>
  <c r="K101" i="4" s="1"/>
  <c r="L196" i="4"/>
  <c r="F196" i="4"/>
  <c r="K196" i="4" s="1"/>
  <c r="L52" i="4"/>
  <c r="F52" i="4"/>
  <c r="K52" i="4" s="1"/>
  <c r="F135" i="4"/>
  <c r="K135" i="4" s="1"/>
  <c r="L135" i="4"/>
  <c r="F218" i="4"/>
  <c r="K218" i="4" s="1"/>
  <c r="L218" i="4"/>
  <c r="L74" i="4"/>
  <c r="F74" i="4"/>
  <c r="K74" i="4" s="1"/>
  <c r="L169" i="4"/>
  <c r="F169" i="4"/>
  <c r="K169" i="4" s="1"/>
  <c r="L25" i="4"/>
  <c r="F25" i="4"/>
  <c r="K25" i="4" s="1"/>
  <c r="L55" i="4"/>
  <c r="F55" i="4"/>
  <c r="K55" i="4" s="1"/>
  <c r="L181" i="4"/>
  <c r="F181" i="4"/>
  <c r="K181" i="4" s="1"/>
  <c r="L179" i="4"/>
  <c r="F179" i="4"/>
  <c r="K179" i="4" s="1"/>
  <c r="L202" i="4"/>
  <c r="F202" i="4"/>
  <c r="K202" i="4" s="1"/>
  <c r="L216" i="4"/>
  <c r="F216" i="4"/>
  <c r="K216" i="4" s="1"/>
  <c r="L94" i="4"/>
  <c r="F94" i="4"/>
  <c r="K94" i="4" s="1"/>
  <c r="L239" i="4"/>
  <c r="F239" i="4"/>
  <c r="K239" i="4" s="1"/>
  <c r="L236" i="4"/>
  <c r="F236" i="4"/>
  <c r="K236" i="4" s="1"/>
  <c r="L276" i="4"/>
  <c r="F276" i="4"/>
  <c r="K276" i="4" s="1"/>
  <c r="F302" i="4"/>
  <c r="K302" i="4" s="1"/>
  <c r="L302" i="4"/>
  <c r="L292" i="4"/>
  <c r="F292" i="4"/>
  <c r="K292" i="4" s="1"/>
  <c r="F270" i="4"/>
  <c r="K270" i="4" s="1"/>
  <c r="L270" i="4"/>
  <c r="F269" i="4"/>
  <c r="K269" i="4" s="1"/>
  <c r="L269" i="4"/>
  <c r="L58" i="4"/>
  <c r="F58" i="4"/>
  <c r="K58" i="4" s="1"/>
  <c r="L153" i="4"/>
  <c r="F153" i="4"/>
  <c r="K153" i="4" s="1"/>
  <c r="L9" i="4"/>
  <c r="F9" i="4"/>
  <c r="K9" i="4" s="1"/>
  <c r="L80" i="4"/>
  <c r="F80" i="4"/>
  <c r="K80" i="4" s="1"/>
  <c r="F175" i="4"/>
  <c r="K175" i="4" s="1"/>
  <c r="L175" i="4"/>
  <c r="L31" i="4"/>
  <c r="F31" i="4"/>
  <c r="K31" i="4" s="1"/>
  <c r="F126" i="4"/>
  <c r="K126" i="4" s="1"/>
  <c r="L126" i="4"/>
  <c r="F233" i="4"/>
  <c r="K233" i="4" s="1"/>
  <c r="L233" i="4"/>
  <c r="L89" i="4"/>
  <c r="F89" i="4"/>
  <c r="K89" i="4" s="1"/>
  <c r="L184" i="4"/>
  <c r="F184" i="4"/>
  <c r="K184" i="4" s="1"/>
  <c r="L40" i="4"/>
  <c r="F40" i="4"/>
  <c r="K40" i="4" s="1"/>
  <c r="F123" i="4"/>
  <c r="K123" i="4" s="1"/>
  <c r="L123" i="4"/>
  <c r="F206" i="4"/>
  <c r="K206" i="4" s="1"/>
  <c r="L206" i="4"/>
  <c r="L62" i="4"/>
  <c r="F62" i="4"/>
  <c r="K62" i="4" s="1"/>
  <c r="L157" i="4"/>
  <c r="F157" i="4"/>
  <c r="K157" i="4" s="1"/>
  <c r="L13" i="4"/>
  <c r="F13" i="4"/>
  <c r="K13" i="4" s="1"/>
  <c r="F278" i="4"/>
  <c r="K278" i="4" s="1"/>
  <c r="L278" i="4"/>
  <c r="L168" i="4"/>
  <c r="F168" i="4"/>
  <c r="K168" i="4" s="1"/>
  <c r="L244" i="4"/>
  <c r="F244" i="4"/>
  <c r="K244" i="4" s="1"/>
  <c r="L6" i="4"/>
  <c r="F6" i="4"/>
  <c r="K6" i="4" s="1"/>
  <c r="F230" i="4"/>
  <c r="K230" i="4" s="1"/>
  <c r="L230" i="4"/>
  <c r="L226" i="4"/>
  <c r="F226" i="4"/>
  <c r="K226" i="4" s="1"/>
  <c r="L84" i="4"/>
  <c r="F84" i="4"/>
  <c r="K84" i="4" s="1"/>
  <c r="L265" i="4"/>
  <c r="F265" i="4"/>
  <c r="K265" i="4" s="1"/>
  <c r="F294" i="4"/>
  <c r="K294" i="4" s="1"/>
  <c r="L294" i="4"/>
  <c r="L142" i="4"/>
  <c r="F142" i="4"/>
  <c r="K142" i="4" s="1"/>
  <c r="L277" i="4"/>
  <c r="F277" i="4"/>
  <c r="K277" i="4" s="1"/>
  <c r="L251" i="4"/>
  <c r="F251" i="4"/>
  <c r="K251" i="4" s="1"/>
  <c r="L288" i="4"/>
  <c r="F288" i="4"/>
  <c r="K288" i="4" s="1"/>
  <c r="F281" i="4"/>
  <c r="K281" i="4" s="1"/>
  <c r="L281" i="4"/>
  <c r="L46" i="4"/>
  <c r="F46" i="4"/>
  <c r="K46" i="4" s="1"/>
  <c r="L141" i="4"/>
  <c r="F141" i="4"/>
  <c r="K141" i="4" s="1"/>
  <c r="L212" i="4"/>
  <c r="F212" i="4"/>
  <c r="K212" i="4" s="1"/>
  <c r="F68" i="4"/>
  <c r="K68" i="4" s="1"/>
  <c r="L68" i="4"/>
  <c r="L163" i="4"/>
  <c r="F163" i="4"/>
  <c r="K163" i="4" s="1"/>
  <c r="F19" i="4"/>
  <c r="K19" i="4" s="1"/>
  <c r="L19" i="4"/>
  <c r="L114" i="4"/>
  <c r="F114" i="4"/>
  <c r="K114" i="4" s="1"/>
  <c r="F221" i="4"/>
  <c r="K221" i="4" s="1"/>
  <c r="L221" i="4"/>
  <c r="L77" i="4"/>
  <c r="F77" i="4"/>
  <c r="K77" i="4" s="1"/>
  <c r="L172" i="4"/>
  <c r="F172" i="4"/>
  <c r="K172" i="4" s="1"/>
  <c r="F28" i="4"/>
  <c r="K28" i="4" s="1"/>
  <c r="L28" i="4"/>
  <c r="F111" i="4"/>
  <c r="K111" i="4" s="1"/>
  <c r="L111" i="4"/>
  <c r="F194" i="4"/>
  <c r="K194" i="4" s="1"/>
  <c r="L194" i="4"/>
  <c r="L50" i="4"/>
  <c r="F50" i="4"/>
  <c r="K50" i="4" s="1"/>
  <c r="L145" i="4"/>
  <c r="F145" i="4"/>
  <c r="K145" i="4" s="1"/>
  <c r="C4" i="4"/>
  <c r="G4" i="4" a="1"/>
  <c r="G4" i="4" s="1"/>
  <c r="E4" i="4"/>
  <c r="D4" i="4"/>
  <c r="F279" i="4"/>
  <c r="K279" i="4" s="1"/>
  <c r="L279" i="4"/>
  <c r="L248" i="4"/>
  <c r="F248" i="4"/>
  <c r="K248" i="4" s="1"/>
  <c r="L132" i="4"/>
  <c r="F132" i="4"/>
  <c r="K132" i="4" s="1"/>
  <c r="L190" i="4"/>
  <c r="F190" i="4"/>
  <c r="K190" i="4" s="1"/>
  <c r="L263" i="4"/>
  <c r="F263" i="4"/>
  <c r="K263" i="4" s="1"/>
  <c r="L300" i="4"/>
  <c r="F300" i="4"/>
  <c r="K300" i="4" s="1"/>
  <c r="F293" i="4"/>
  <c r="K293" i="4" s="1"/>
  <c r="L293" i="4"/>
  <c r="L34" i="4"/>
  <c r="F34" i="4"/>
  <c r="K34" i="4" s="1"/>
  <c r="L129" i="4"/>
  <c r="F129" i="4"/>
  <c r="K129" i="4" s="1"/>
  <c r="L200" i="4"/>
  <c r="F200" i="4"/>
  <c r="K200" i="4" s="1"/>
  <c r="L56" i="4"/>
  <c r="F56" i="4"/>
  <c r="K56" i="4" s="1"/>
  <c r="F151" i="4"/>
  <c r="K151" i="4" s="1"/>
  <c r="L151" i="4"/>
  <c r="L7" i="4"/>
  <c r="F7" i="4"/>
  <c r="K7" i="4" s="1"/>
  <c r="L102" i="4"/>
  <c r="F102" i="4"/>
  <c r="K102" i="4" s="1"/>
  <c r="F209" i="4"/>
  <c r="K209" i="4" s="1"/>
  <c r="L209" i="4"/>
  <c r="L65" i="4"/>
  <c r="F65" i="4"/>
  <c r="K65" i="4" s="1"/>
  <c r="L160" i="4"/>
  <c r="F160" i="4"/>
  <c r="K160" i="4" s="1"/>
  <c r="L16" i="4"/>
  <c r="F16" i="4"/>
  <c r="K16" i="4" s="1"/>
  <c r="F99" i="4"/>
  <c r="K99" i="4" s="1"/>
  <c r="L99" i="4"/>
  <c r="F182" i="4"/>
  <c r="K182" i="4" s="1"/>
  <c r="L182" i="4"/>
  <c r="L38" i="4"/>
  <c r="F38" i="4"/>
  <c r="K38" i="4" s="1"/>
  <c r="L133" i="4"/>
  <c r="F133" i="4"/>
  <c r="K133" i="4" s="1"/>
  <c r="L130" i="4"/>
  <c r="F130" i="4"/>
  <c r="K130" i="4" s="1"/>
  <c r="L33" i="4"/>
  <c r="F33" i="4"/>
  <c r="K33" i="4" s="1"/>
  <c r="L86" i="4"/>
  <c r="F86" i="4"/>
  <c r="K86" i="4" s="1"/>
  <c r="L228" i="4"/>
  <c r="F228" i="4"/>
  <c r="K228" i="4" s="1"/>
  <c r="L275" i="4"/>
  <c r="F275" i="4"/>
  <c r="K275" i="4" s="1"/>
  <c r="L24" i="4"/>
  <c r="F24" i="4"/>
  <c r="K24" i="4" s="1"/>
  <c r="L36" i="4"/>
  <c r="F36" i="4"/>
  <c r="K36" i="4" s="1"/>
  <c r="L22" i="4"/>
  <c r="F22" i="4"/>
  <c r="K22" i="4" s="1"/>
  <c r="L117" i="4"/>
  <c r="F117" i="4"/>
  <c r="K117" i="4" s="1"/>
  <c r="L188" i="4"/>
  <c r="F188" i="4"/>
  <c r="K188" i="4" s="1"/>
  <c r="L44" i="4"/>
  <c r="F44" i="4"/>
  <c r="K44" i="4" s="1"/>
  <c r="L139" i="4"/>
  <c r="F139" i="4"/>
  <c r="K139" i="4" s="1"/>
  <c r="L234" i="4"/>
  <c r="F234" i="4"/>
  <c r="K234" i="4" s="1"/>
  <c r="L90" i="4"/>
  <c r="F90" i="4"/>
  <c r="K90" i="4" s="1"/>
  <c r="F197" i="4"/>
  <c r="K197" i="4" s="1"/>
  <c r="L197" i="4"/>
  <c r="L53" i="4"/>
  <c r="F53" i="4"/>
  <c r="K53" i="4" s="1"/>
  <c r="L148" i="4"/>
  <c r="F148" i="4"/>
  <c r="K148" i="4" s="1"/>
  <c r="F231" i="4"/>
  <c r="K231" i="4" s="1"/>
  <c r="L231" i="4"/>
  <c r="F87" i="4"/>
  <c r="K87" i="4" s="1"/>
  <c r="L87" i="4"/>
  <c r="F170" i="4"/>
  <c r="K170" i="4" s="1"/>
  <c r="L170" i="4"/>
  <c r="L26" i="4"/>
  <c r="F26" i="4"/>
  <c r="K26" i="4" s="1"/>
  <c r="L121" i="4"/>
  <c r="F121" i="4"/>
  <c r="K121" i="4" s="1"/>
  <c r="L178" i="4"/>
  <c r="F178" i="4"/>
  <c r="K178" i="4" s="1"/>
  <c r="L11" i="4"/>
  <c r="F11" i="4"/>
  <c r="K11" i="4" s="1"/>
  <c r="L260" i="4"/>
  <c r="F260" i="4"/>
  <c r="K260" i="4" s="1"/>
  <c r="L272" i="4"/>
  <c r="F272" i="4"/>
  <c r="K272" i="4" s="1"/>
  <c r="L227" i="4"/>
  <c r="F227" i="4"/>
  <c r="K227" i="4" s="1"/>
  <c r="L250" i="4"/>
  <c r="F250" i="4"/>
  <c r="K250" i="4" s="1"/>
  <c r="L282" i="4"/>
  <c r="F282" i="4"/>
  <c r="K282" i="4" s="1"/>
  <c r="L287" i="4"/>
  <c r="F287" i="4"/>
  <c r="K287" i="4" s="1"/>
  <c r="F107" i="4"/>
  <c r="K107" i="4" s="1"/>
  <c r="L107" i="4"/>
  <c r="L108" i="4"/>
  <c r="F108" i="4"/>
  <c r="K108" i="4" s="1"/>
  <c r="F120" i="4"/>
  <c r="K120" i="4" s="1"/>
  <c r="L120" i="4"/>
  <c r="F303" i="4"/>
  <c r="K303" i="4" s="1"/>
  <c r="L303" i="4"/>
  <c r="F48" i="4"/>
  <c r="K48" i="4" s="1"/>
  <c r="L48" i="4"/>
  <c r="L10" i="4"/>
  <c r="F10" i="4"/>
  <c r="K10" i="4" s="1"/>
  <c r="L105" i="4"/>
  <c r="F105" i="4"/>
  <c r="K105" i="4" s="1"/>
  <c r="L176" i="4"/>
  <c r="F176" i="4"/>
  <c r="K176" i="4" s="1"/>
  <c r="L32" i="4"/>
  <c r="F32" i="4"/>
  <c r="K32" i="4" s="1"/>
  <c r="F127" i="4"/>
  <c r="K127" i="4" s="1"/>
  <c r="L127" i="4"/>
  <c r="F222" i="4"/>
  <c r="K222" i="4" s="1"/>
  <c r="L222" i="4"/>
  <c r="L78" i="4"/>
  <c r="F78" i="4"/>
  <c r="K78" i="4" s="1"/>
  <c r="F185" i="4"/>
  <c r="K185" i="4" s="1"/>
  <c r="L185" i="4"/>
  <c r="L41" i="4"/>
  <c r="F41" i="4"/>
  <c r="K41" i="4" s="1"/>
  <c r="L136" i="4"/>
  <c r="F136" i="4"/>
  <c r="K136" i="4" s="1"/>
  <c r="F219" i="4"/>
  <c r="K219" i="4" s="1"/>
  <c r="L219" i="4"/>
  <c r="F75" i="4"/>
  <c r="K75" i="4" s="1"/>
  <c r="L75" i="4"/>
  <c r="F158" i="4"/>
  <c r="K158" i="4" s="1"/>
  <c r="L158" i="4"/>
  <c r="L14" i="4"/>
  <c r="F14" i="4"/>
  <c r="K14" i="4" s="1"/>
  <c r="L109" i="4"/>
  <c r="F109" i="4"/>
  <c r="K109" i="4" s="1"/>
  <c r="L224" i="4"/>
  <c r="F224" i="4"/>
  <c r="K224" i="4" s="1"/>
  <c r="L143" i="4"/>
  <c r="F143" i="4"/>
  <c r="K143" i="4" s="1"/>
  <c r="L268" i="4"/>
  <c r="F268" i="4"/>
  <c r="K268" i="4" s="1"/>
  <c r="L104" i="4"/>
  <c r="F104" i="4"/>
  <c r="K104" i="4" s="1"/>
  <c r="L180" i="4"/>
  <c r="F180" i="4"/>
  <c r="K180" i="4" s="1"/>
  <c r="L284" i="4"/>
  <c r="F284" i="4"/>
  <c r="K284" i="4" s="1"/>
  <c r="L72" i="4"/>
  <c r="F72" i="4"/>
  <c r="K72" i="4" s="1"/>
  <c r="L249" i="4"/>
  <c r="F249" i="4"/>
  <c r="K249" i="4" s="1"/>
  <c r="L262" i="4"/>
  <c r="F262" i="4"/>
  <c r="K262" i="4" s="1"/>
  <c r="L299" i="4"/>
  <c r="F299" i="4"/>
  <c r="K299" i="4" s="1"/>
  <c r="L12" i="4"/>
  <c r="F12" i="4"/>
  <c r="K12" i="4" s="1"/>
  <c r="L155" i="4"/>
  <c r="F155" i="4"/>
  <c r="K155" i="4" s="1"/>
  <c r="L156" i="4"/>
  <c r="F156" i="4"/>
  <c r="K156" i="4" s="1"/>
  <c r="L258" i="4"/>
  <c r="F258" i="4"/>
  <c r="K258" i="4" s="1"/>
  <c r="L118" i="4"/>
  <c r="F118" i="4"/>
  <c r="K118" i="4" s="1"/>
  <c r="F71" i="4"/>
  <c r="K71" i="4" s="1"/>
  <c r="L71" i="4"/>
  <c r="L237" i="4"/>
  <c r="F237" i="4"/>
  <c r="K237" i="4" s="1"/>
  <c r="L93" i="4"/>
  <c r="F93" i="4"/>
  <c r="K93" i="4" s="1"/>
  <c r="L164" i="4"/>
  <c r="F164" i="4"/>
  <c r="K164" i="4" s="1"/>
  <c r="F20" i="4"/>
  <c r="K20" i="4" s="1"/>
  <c r="L20" i="4"/>
  <c r="L115" i="4"/>
  <c r="F115" i="4"/>
  <c r="K115" i="4" s="1"/>
  <c r="L210" i="4"/>
  <c r="F210" i="4"/>
  <c r="K210" i="4" s="1"/>
  <c r="L66" i="4"/>
  <c r="F66" i="4"/>
  <c r="K66" i="4" s="1"/>
  <c r="F173" i="4"/>
  <c r="K173" i="4" s="1"/>
  <c r="L173" i="4"/>
  <c r="L29" i="4"/>
  <c r="F29" i="4"/>
  <c r="K29" i="4" s="1"/>
  <c r="L124" i="4"/>
  <c r="F124" i="4"/>
  <c r="K124" i="4" s="1"/>
  <c r="F207" i="4"/>
  <c r="K207" i="4" s="1"/>
  <c r="L207" i="4"/>
  <c r="F63" i="4"/>
  <c r="K63" i="4" s="1"/>
  <c r="L63" i="4"/>
  <c r="F146" i="4"/>
  <c r="K146" i="4" s="1"/>
  <c r="L146" i="4"/>
  <c r="L241" i="4"/>
  <c r="F241" i="4"/>
  <c r="K241" i="4" s="1"/>
  <c r="L97" i="4"/>
  <c r="F97" i="4"/>
  <c r="K97" i="4" s="1"/>
  <c r="F247" i="4"/>
  <c r="K247" i="4" s="1"/>
  <c r="L247" i="4"/>
  <c r="L252" i="4"/>
  <c r="F252" i="4"/>
  <c r="K252" i="4" s="1"/>
  <c r="L296" i="4"/>
  <c r="F296" i="4"/>
  <c r="K296" i="4" s="1"/>
  <c r="F246" i="4"/>
  <c r="K246" i="4" s="1"/>
  <c r="L246" i="4"/>
  <c r="L261" i="4"/>
  <c r="F261" i="4"/>
  <c r="K261" i="4" s="1"/>
  <c r="L274" i="4"/>
  <c r="F274" i="4"/>
  <c r="K274" i="4" s="1"/>
  <c r="L96" i="4"/>
  <c r="F96" i="4"/>
  <c r="K96" i="4" s="1"/>
  <c r="L253" i="4"/>
  <c r="F253" i="4"/>
  <c r="K253" i="4" s="1"/>
  <c r="L203" i="4"/>
  <c r="F203" i="4"/>
  <c r="K203" i="4" s="1"/>
  <c r="L204" i="4"/>
  <c r="F204" i="4"/>
  <c r="K204" i="4" s="1"/>
  <c r="L166" i="4"/>
  <c r="F166" i="4"/>
  <c r="K166" i="4" s="1"/>
  <c r="L60" i="4"/>
  <c r="F60" i="4"/>
  <c r="K60" i="4" s="1"/>
  <c r="L59" i="4"/>
  <c r="F59" i="4"/>
  <c r="K59" i="4" s="1"/>
  <c r="L225" i="4"/>
  <c r="F225" i="4"/>
  <c r="K225" i="4" s="1"/>
  <c r="L81" i="4"/>
  <c r="F81" i="4"/>
  <c r="K81" i="4" s="1"/>
  <c r="L152" i="4"/>
  <c r="F152" i="4"/>
  <c r="K152" i="4" s="1"/>
  <c r="L8" i="4"/>
  <c r="F8" i="4"/>
  <c r="K8" i="4" s="1"/>
  <c r="L103" i="4"/>
  <c r="F103" i="4"/>
  <c r="K103" i="4" s="1"/>
  <c r="F198" i="4"/>
  <c r="K198" i="4" s="1"/>
  <c r="L198" i="4"/>
  <c r="L54" i="4"/>
  <c r="F54" i="4"/>
  <c r="K54" i="4" s="1"/>
  <c r="F161" i="4"/>
  <c r="K161" i="4" s="1"/>
  <c r="L161" i="4"/>
  <c r="L17" i="4"/>
  <c r="F17" i="4"/>
  <c r="K17" i="4" s="1"/>
  <c r="L112" i="4"/>
  <c r="F112" i="4"/>
  <c r="K112" i="4" s="1"/>
  <c r="F195" i="4"/>
  <c r="K195" i="4" s="1"/>
  <c r="L195" i="4"/>
  <c r="F51" i="4"/>
  <c r="K51" i="4" s="1"/>
  <c r="L51" i="4"/>
  <c r="F134" i="4"/>
  <c r="K134" i="4" s="1"/>
  <c r="L134" i="4"/>
  <c r="L229" i="4"/>
  <c r="F229" i="4"/>
  <c r="K229" i="4" s="1"/>
  <c r="L85" i="4"/>
  <c r="F85" i="4"/>
  <c r="K85" i="4" s="1"/>
  <c r="L259" i="4"/>
  <c r="F259" i="4"/>
  <c r="K259" i="4" s="1"/>
  <c r="L177" i="4"/>
  <c r="F177" i="4"/>
  <c r="K177" i="4" s="1"/>
  <c r="L273" i="4"/>
  <c r="F273" i="4"/>
  <c r="K273" i="4" s="1"/>
  <c r="L286" i="4"/>
  <c r="F286" i="4"/>
  <c r="K286" i="4" s="1"/>
  <c r="L144" i="4"/>
  <c r="F144" i="4"/>
  <c r="K144" i="4" s="1"/>
  <c r="L289" i="4"/>
  <c r="F289" i="4"/>
  <c r="K289" i="4" s="1"/>
  <c r="L240" i="4"/>
  <c r="F240" i="4"/>
  <c r="K240" i="4" s="1"/>
  <c r="F242" i="4"/>
  <c r="K242" i="4" s="1"/>
  <c r="L242" i="4"/>
  <c r="L214" i="4"/>
  <c r="F214" i="4"/>
  <c r="K214" i="4" s="1"/>
  <c r="L119" i="4"/>
  <c r="F119" i="4"/>
  <c r="K119" i="4" s="1"/>
  <c r="L47" i="4"/>
  <c r="F47" i="4"/>
  <c r="K47" i="4" s="1"/>
  <c r="L213" i="4"/>
  <c r="F213" i="4"/>
  <c r="K213" i="4" s="1"/>
  <c r="L69" i="4"/>
  <c r="F69" i="4"/>
  <c r="K69" i="4" s="1"/>
  <c r="L140" i="4"/>
  <c r="F140" i="4"/>
  <c r="K140" i="4" s="1"/>
  <c r="L235" i="4"/>
  <c r="F235" i="4"/>
  <c r="K235" i="4" s="1"/>
  <c r="F91" i="4"/>
  <c r="K91" i="4" s="1"/>
  <c r="L91" i="4"/>
  <c r="L186" i="4"/>
  <c r="F186" i="4"/>
  <c r="K186" i="4" s="1"/>
  <c r="L42" i="4"/>
  <c r="F42" i="4"/>
  <c r="K42" i="4" s="1"/>
  <c r="F149" i="4"/>
  <c r="K149" i="4" s="1"/>
  <c r="L149" i="4"/>
  <c r="L5" i="4"/>
  <c r="F5" i="4"/>
  <c r="K5" i="4" s="1"/>
  <c r="F100" i="4"/>
  <c r="K100" i="4" s="1"/>
  <c r="L100" i="4"/>
  <c r="F183" i="4"/>
  <c r="K183" i="4" s="1"/>
  <c r="L183" i="4"/>
  <c r="F39" i="4"/>
  <c r="K39" i="4" s="1"/>
  <c r="L39" i="4"/>
  <c r="L122" i="4"/>
  <c r="F122" i="4"/>
  <c r="K122" i="4" s="1"/>
  <c r="L217" i="4"/>
  <c r="F217" i="4"/>
  <c r="K217" i="4" s="1"/>
  <c r="L73" i="4"/>
  <c r="F73" i="4"/>
  <c r="K73" i="4" s="1"/>
  <c r="F271" i="4"/>
  <c r="K271" i="4" s="1"/>
  <c r="L271" i="4"/>
  <c r="F199" i="4"/>
  <c r="K199" i="4" s="1"/>
  <c r="L199" i="4"/>
  <c r="L208" i="4"/>
  <c r="F208" i="4"/>
  <c r="K208" i="4" s="1"/>
  <c r="F64" i="4"/>
  <c r="K64" i="4" s="1"/>
  <c r="L64" i="4"/>
  <c r="L285" i="4"/>
  <c r="F285" i="4"/>
  <c r="K285" i="4" s="1"/>
  <c r="L298" i="4"/>
  <c r="F298" i="4"/>
  <c r="K298" i="4" s="1"/>
  <c r="L154" i="4"/>
  <c r="F154" i="4"/>
  <c r="K154" i="4" s="1"/>
  <c r="L192" i="4"/>
  <c r="F192" i="4"/>
  <c r="K192" i="4" s="1"/>
  <c r="F254" i="4"/>
  <c r="K254" i="4" s="1"/>
  <c r="L254" i="4"/>
  <c r="F255" i="4"/>
  <c r="K255" i="4" s="1"/>
  <c r="L255" i="4"/>
  <c r="F243" i="4"/>
  <c r="K243" i="4" s="1"/>
  <c r="L243" i="4"/>
  <c r="L167" i="4"/>
  <c r="F167" i="4"/>
  <c r="K167" i="4" s="1"/>
  <c r="F35" i="4"/>
  <c r="K35" i="4" s="1"/>
  <c r="L35" i="4"/>
  <c r="L201" i="4"/>
  <c r="F201" i="4"/>
  <c r="K201" i="4" s="1"/>
  <c r="L57" i="4"/>
  <c r="F57" i="4"/>
  <c r="K57" i="4" s="1"/>
  <c r="L128" i="4"/>
  <c r="F128" i="4"/>
  <c r="K128" i="4" s="1"/>
  <c r="F223" i="4"/>
  <c r="K223" i="4" s="1"/>
  <c r="L223" i="4"/>
  <c r="L79" i="4"/>
  <c r="F79" i="4"/>
  <c r="K79" i="4" s="1"/>
  <c r="F174" i="4"/>
  <c r="K174" i="4" s="1"/>
  <c r="L174" i="4"/>
  <c r="L30" i="4"/>
  <c r="F30" i="4"/>
  <c r="K30" i="4" s="1"/>
  <c r="F137" i="4"/>
  <c r="K137" i="4" s="1"/>
  <c r="L137" i="4"/>
  <c r="L232" i="4"/>
  <c r="F232" i="4"/>
  <c r="K232" i="4" s="1"/>
  <c r="L88" i="4"/>
  <c r="F88" i="4"/>
  <c r="K88" i="4" s="1"/>
  <c r="F171" i="4"/>
  <c r="K171" i="4" s="1"/>
  <c r="L171" i="4"/>
  <c r="F27" i="4"/>
  <c r="K27" i="4" s="1"/>
  <c r="L27" i="4"/>
  <c r="L110" i="4"/>
  <c r="F110" i="4"/>
  <c r="K110" i="4" s="1"/>
  <c r="L205" i="4"/>
  <c r="F205" i="4"/>
  <c r="K205" i="4" s="1"/>
  <c r="L61" i="4"/>
  <c r="F61" i="4"/>
  <c r="K61" i="4" s="1"/>
  <c r="L283" i="4"/>
  <c r="F283" i="4"/>
  <c r="K283" i="4" s="1"/>
  <c r="I29" i="3"/>
  <c r="I4" i="3"/>
  <c r="I269" i="3"/>
  <c r="I292" i="3"/>
  <c r="I77" i="3"/>
  <c r="I256" i="3"/>
  <c r="I232" i="3"/>
  <c r="I281" i="3"/>
  <c r="I244" i="3"/>
  <c r="I249" i="3"/>
  <c r="I259" i="3"/>
  <c r="I209" i="3"/>
  <c r="I31" i="3"/>
  <c r="I107" i="3"/>
  <c r="I148" i="3"/>
  <c r="I28" i="3"/>
  <c r="I179" i="3"/>
  <c r="I172" i="3"/>
  <c r="I215" i="3"/>
  <c r="I233" i="3"/>
  <c r="I19" i="3"/>
  <c r="I67" i="3"/>
  <c r="I283" i="3"/>
  <c r="I53" i="3"/>
  <c r="I160" i="3"/>
  <c r="I7" i="3"/>
  <c r="I139" i="3"/>
  <c r="I280" i="3"/>
  <c r="I268" i="3"/>
  <c r="I64" i="3"/>
  <c r="I271" i="3"/>
  <c r="I52" i="3"/>
  <c r="I103" i="3"/>
  <c r="I30" i="3"/>
  <c r="I187" i="3"/>
  <c r="I258" i="3"/>
  <c r="I235" i="3"/>
  <c r="I162" i="3"/>
  <c r="I186" i="3"/>
  <c r="I32" i="3"/>
  <c r="I206" i="3"/>
  <c r="I14" i="3"/>
  <c r="I164" i="3"/>
  <c r="I300" i="3"/>
  <c r="I132" i="3"/>
  <c r="I168" i="3"/>
  <c r="I15" i="3"/>
  <c r="I195" i="3"/>
  <c r="I228" i="3"/>
  <c r="I44" i="3"/>
  <c r="I84" i="3"/>
  <c r="I267" i="3"/>
  <c r="I122" i="3"/>
  <c r="I266" i="3"/>
  <c r="I176" i="3"/>
  <c r="I134" i="3"/>
  <c r="I278" i="3"/>
  <c r="I207" i="3"/>
  <c r="I24" i="3"/>
  <c r="I252" i="3"/>
  <c r="I290" i="3"/>
  <c r="I156" i="3"/>
  <c r="I135" i="3"/>
  <c r="I291" i="3"/>
  <c r="I47" i="3"/>
  <c r="I48" i="3"/>
  <c r="I128" i="3"/>
  <c r="I66" i="3"/>
  <c r="I294" i="3"/>
  <c r="I83" i="3"/>
  <c r="I72" i="3"/>
  <c r="I282" i="3"/>
  <c r="I126" i="3"/>
  <c r="I138" i="3"/>
  <c r="I54" i="3"/>
  <c r="I90" i="3"/>
  <c r="I276" i="3"/>
  <c r="I124" i="3"/>
  <c r="I251" i="3"/>
  <c r="I165" i="3"/>
  <c r="I152" i="3"/>
  <c r="I11" i="3"/>
  <c r="I204" i="3"/>
  <c r="I20" i="3"/>
  <c r="I296" i="3"/>
  <c r="I180" i="3"/>
  <c r="I147" i="3"/>
  <c r="I108" i="3"/>
  <c r="I260" i="3"/>
  <c r="I123" i="3"/>
  <c r="I239" i="3"/>
  <c r="I145" i="3"/>
  <c r="I140" i="3"/>
  <c r="I133" i="3"/>
  <c r="I131" i="3"/>
  <c r="I97" i="3"/>
  <c r="I230" i="3"/>
  <c r="I242" i="3"/>
  <c r="I51" i="3"/>
  <c r="I37" i="3"/>
  <c r="I146" i="3"/>
  <c r="I243" i="3"/>
  <c r="I25" i="3"/>
  <c r="I10" i="3"/>
  <c r="I27" i="3"/>
  <c r="I86" i="3"/>
  <c r="I50" i="3"/>
  <c r="I218" i="3"/>
  <c r="I49" i="3"/>
  <c r="I75" i="3"/>
  <c r="I286" i="3"/>
  <c r="I194" i="3"/>
  <c r="I73" i="3"/>
  <c r="I22" i="3"/>
  <c r="I61" i="3"/>
  <c r="I109" i="3"/>
  <c r="I158" i="3"/>
  <c r="I302" i="3"/>
  <c r="I26" i="3"/>
  <c r="I182" i="3"/>
  <c r="I170" i="3"/>
  <c r="I166" i="3"/>
  <c r="I142" i="3"/>
  <c r="I238" i="3"/>
  <c r="I254" i="3"/>
  <c r="I255" i="3"/>
  <c r="I62" i="3"/>
  <c r="I74" i="3"/>
  <c r="I183" i="3"/>
  <c r="I159" i="3"/>
  <c r="I38" i="3"/>
  <c r="L4" i="4" l="1"/>
  <c r="F4" i="4"/>
  <c r="K4" i="4" s="1"/>
  <c r="N103" i="4" l="1"/>
  <c r="M103" i="4"/>
  <c r="O103" i="4" s="1"/>
  <c r="N70" i="4"/>
  <c r="M70" i="4"/>
  <c r="N227" i="4"/>
  <c r="M227" i="4"/>
  <c r="O227" i="4" s="1"/>
  <c r="N266" i="4"/>
  <c r="M266" i="4"/>
  <c r="N246" i="4"/>
  <c r="M246" i="4"/>
  <c r="N38" i="4"/>
  <c r="M38" i="4"/>
  <c r="N80" i="4"/>
  <c r="M80" i="4"/>
  <c r="O80" i="4" s="1"/>
  <c r="N242" i="4"/>
  <c r="M242" i="4"/>
  <c r="N116" i="4"/>
  <c r="M116" i="4"/>
  <c r="O116" i="4" s="1"/>
  <c r="N59" i="4"/>
  <c r="M59" i="4"/>
  <c r="M16" i="4"/>
  <c r="N16" i="4"/>
  <c r="N138" i="4"/>
  <c r="M138" i="4"/>
  <c r="M275" i="4"/>
  <c r="N275" i="4"/>
  <c r="N243" i="4"/>
  <c r="M243" i="4"/>
  <c r="N192" i="4"/>
  <c r="M192" i="4"/>
  <c r="M64" i="4"/>
  <c r="N64" i="4"/>
  <c r="N202" i="4"/>
  <c r="M202" i="4"/>
  <c r="N24" i="4"/>
  <c r="M24" i="4"/>
  <c r="N144" i="4"/>
  <c r="M144" i="4"/>
  <c r="O144" i="4" s="1"/>
  <c r="N108" i="4"/>
  <c r="M108" i="4"/>
  <c r="N184" i="4"/>
  <c r="M184" i="4"/>
  <c r="N269" i="4"/>
  <c r="M269" i="4"/>
  <c r="N285" i="4"/>
  <c r="M285" i="4"/>
  <c r="N36" i="4"/>
  <c r="M36" i="4"/>
  <c r="N187" i="4"/>
  <c r="M187" i="4"/>
  <c r="O187" i="4" s="1"/>
  <c r="N32" i="4"/>
  <c r="M32" i="4"/>
  <c r="N140" i="4"/>
  <c r="M140" i="4"/>
  <c r="M51" i="4"/>
  <c r="N51" i="4"/>
  <c r="N220" i="4"/>
  <c r="M220" i="4"/>
  <c r="N102" i="4"/>
  <c r="M102" i="4"/>
  <c r="N273" i="4"/>
  <c r="M273" i="4"/>
  <c r="O273" i="4" s="1"/>
  <c r="N66" i="4"/>
  <c r="M66" i="4"/>
  <c r="N209" i="4"/>
  <c r="M209" i="4"/>
  <c r="M15" i="4"/>
  <c r="N15" i="4"/>
  <c r="M272" i="4"/>
  <c r="N272" i="4"/>
  <c r="N179" i="4"/>
  <c r="M179" i="4"/>
  <c r="N44" i="4"/>
  <c r="M44" i="4"/>
  <c r="O44" i="4" s="1"/>
  <c r="N67" i="4"/>
  <c r="M67" i="4"/>
  <c r="N201" i="4"/>
  <c r="M201" i="4"/>
  <c r="N189" i="4"/>
  <c r="M189" i="4"/>
  <c r="N9" i="4"/>
  <c r="M9" i="4"/>
  <c r="N139" i="4"/>
  <c r="M139" i="4"/>
  <c r="N186" i="4"/>
  <c r="M186" i="4"/>
  <c r="O186" i="4" s="1"/>
  <c r="N240" i="4"/>
  <c r="M240" i="4"/>
  <c r="N13" i="4"/>
  <c r="M13" i="4"/>
  <c r="N151" i="4"/>
  <c r="M151" i="4"/>
  <c r="N20" i="4"/>
  <c r="M20" i="4"/>
  <c r="N74" i="4"/>
  <c r="M74" i="4"/>
  <c r="N69" i="4"/>
  <c r="M69" i="4"/>
  <c r="O69" i="4" s="1"/>
  <c r="M268" i="4"/>
  <c r="N268" i="4"/>
  <c r="N39" i="4"/>
  <c r="M39" i="4"/>
  <c r="N300" i="4"/>
  <c r="M300" i="4"/>
  <c r="M280" i="4"/>
  <c r="N280" i="4"/>
  <c r="N221" i="4"/>
  <c r="M221" i="4"/>
  <c r="M88" i="4"/>
  <c r="N88" i="4"/>
  <c r="N5" i="4"/>
  <c r="M5" i="4"/>
  <c r="M214" i="4"/>
  <c r="N214" i="4"/>
  <c r="N48" i="4"/>
  <c r="M48" i="4"/>
  <c r="O48" i="4" s="1"/>
  <c r="N148" i="4"/>
  <c r="M148" i="4"/>
  <c r="N84" i="4"/>
  <c r="M84" i="4"/>
  <c r="N68" i="4"/>
  <c r="M68" i="4"/>
  <c r="N283" i="4"/>
  <c r="M283" i="4"/>
  <c r="N73" i="4"/>
  <c r="M73" i="4"/>
  <c r="N106" i="4"/>
  <c r="M106" i="4"/>
  <c r="O106" i="4" s="1"/>
  <c r="N235" i="4"/>
  <c r="M235" i="4"/>
  <c r="N222" i="4"/>
  <c r="M222" i="4"/>
  <c r="N241" i="4"/>
  <c r="M241" i="4"/>
  <c r="N178" i="4"/>
  <c r="M178" i="4"/>
  <c r="N110" i="4"/>
  <c r="M110" i="4"/>
  <c r="N33" i="4"/>
  <c r="M33" i="4"/>
  <c r="O33" i="4" s="1"/>
  <c r="N157" i="4"/>
  <c r="M157" i="4"/>
  <c r="M287" i="4"/>
  <c r="N287" i="4"/>
  <c r="N107" i="4"/>
  <c r="M107" i="4"/>
  <c r="N23" i="4"/>
  <c r="M23" i="4"/>
  <c r="M251" i="4"/>
  <c r="N251" i="4"/>
  <c r="N173" i="4"/>
  <c r="M173" i="4"/>
  <c r="O173" i="4" s="1"/>
  <c r="N19" i="4"/>
  <c r="M19" i="4"/>
  <c r="N267" i="4"/>
  <c r="M267" i="4"/>
  <c r="N18" i="4"/>
  <c r="M18" i="4"/>
  <c r="M239" i="4"/>
  <c r="N239" i="4"/>
  <c r="N72" i="4"/>
  <c r="M72" i="4"/>
  <c r="N171" i="4"/>
  <c r="M171" i="4"/>
  <c r="O171" i="4" s="1"/>
  <c r="N167" i="4"/>
  <c r="M167" i="4"/>
  <c r="N43" i="4"/>
  <c r="M43" i="4"/>
  <c r="N53" i="4"/>
  <c r="M53" i="4"/>
  <c r="N35" i="4"/>
  <c r="M35" i="4"/>
  <c r="N163" i="4"/>
  <c r="M163" i="4"/>
  <c r="N75" i="4"/>
  <c r="M75" i="4"/>
  <c r="O75" i="4" s="1"/>
  <c r="N146" i="4"/>
  <c r="M146" i="4"/>
  <c r="N112" i="4"/>
  <c r="M112" i="4"/>
  <c r="N62" i="4"/>
  <c r="M62" i="4"/>
  <c r="O62" i="4" s="1"/>
  <c r="N282" i="4"/>
  <c r="M282" i="4"/>
  <c r="N302" i="4"/>
  <c r="M302" i="4"/>
  <c r="N203" i="4"/>
  <c r="M203" i="4"/>
  <c r="N109" i="4"/>
  <c r="M109" i="4"/>
  <c r="N277" i="4"/>
  <c r="M277" i="4"/>
  <c r="N10" i="4"/>
  <c r="M10" i="4"/>
  <c r="O10" i="4" s="1"/>
  <c r="M208" i="4"/>
  <c r="N208" i="4"/>
  <c r="N162" i="4"/>
  <c r="M162" i="4"/>
  <c r="M172" i="4"/>
  <c r="N172" i="4"/>
  <c r="N149" i="4"/>
  <c r="M149" i="4"/>
  <c r="M271" i="4"/>
  <c r="N271" i="4"/>
  <c r="N233" i="4"/>
  <c r="M233" i="4"/>
  <c r="N229" i="4"/>
  <c r="M229" i="4"/>
  <c r="N79" i="4"/>
  <c r="M79" i="4"/>
  <c r="N263" i="4"/>
  <c r="M263" i="4"/>
  <c r="N14" i="4"/>
  <c r="M14" i="4"/>
  <c r="M100" i="4"/>
  <c r="N100" i="4"/>
  <c r="N41" i="4"/>
  <c r="M41" i="4"/>
  <c r="N95" i="4"/>
  <c r="M95" i="4"/>
  <c r="N224" i="4"/>
  <c r="M224" i="4"/>
  <c r="N185" i="4"/>
  <c r="M185" i="4"/>
  <c r="N156" i="4"/>
  <c r="M156" i="4"/>
  <c r="N176" i="4"/>
  <c r="M176" i="4"/>
  <c r="N217" i="4"/>
  <c r="M217" i="4"/>
  <c r="N6" i="4"/>
  <c r="M6" i="4"/>
  <c r="N118" i="4"/>
  <c r="M118" i="4"/>
  <c r="N47" i="4"/>
  <c r="M47" i="4"/>
  <c r="N8" i="4"/>
  <c r="M8" i="4"/>
  <c r="N212" i="4"/>
  <c r="M212" i="4"/>
  <c r="N205" i="4"/>
  <c r="M205" i="4"/>
  <c r="N113" i="4"/>
  <c r="M113" i="4"/>
  <c r="M291" i="4"/>
  <c r="N291" i="4"/>
  <c r="N128" i="4"/>
  <c r="M128" i="4"/>
  <c r="N131" i="4"/>
  <c r="M131" i="4"/>
  <c r="N248" i="4"/>
  <c r="M248" i="4"/>
  <c r="N40" i="4"/>
  <c r="M40" i="4"/>
  <c r="N155" i="4"/>
  <c r="M155" i="4"/>
  <c r="N17" i="4"/>
  <c r="M17" i="4"/>
  <c r="N133" i="4"/>
  <c r="M133" i="4"/>
  <c r="N177" i="4"/>
  <c r="M177" i="4"/>
  <c r="N225" i="4"/>
  <c r="M225" i="4"/>
  <c r="M52" i="4"/>
  <c r="N52" i="4"/>
  <c r="N228" i="4"/>
  <c r="M228" i="4"/>
  <c r="N276" i="4"/>
  <c r="M276" i="4"/>
  <c r="N170" i="4"/>
  <c r="M170" i="4"/>
  <c r="N85" i="4"/>
  <c r="M85" i="4"/>
  <c r="N188" i="4"/>
  <c r="M188" i="4"/>
  <c r="N245" i="4"/>
  <c r="M245" i="4"/>
  <c r="N111" i="4"/>
  <c r="M111" i="4"/>
  <c r="N257" i="4"/>
  <c r="M257" i="4"/>
  <c r="N31" i="4"/>
  <c r="M31" i="4"/>
  <c r="N130" i="4"/>
  <c r="M130" i="4"/>
  <c r="N181" i="4"/>
  <c r="M181" i="4"/>
  <c r="N174" i="4"/>
  <c r="M174" i="4"/>
  <c r="N207" i="4"/>
  <c r="M207" i="4"/>
  <c r="N230" i="4"/>
  <c r="M230" i="4"/>
  <c r="N164" i="4"/>
  <c r="M164" i="4"/>
  <c r="M250" i="4"/>
  <c r="N250" i="4"/>
  <c r="N93" i="4"/>
  <c r="M93" i="4"/>
  <c r="N56" i="4"/>
  <c r="M56" i="4"/>
  <c r="N301" i="4"/>
  <c r="M301" i="4"/>
  <c r="N142" i="4"/>
  <c r="M142" i="4"/>
  <c r="N115" i="4"/>
  <c r="M115" i="4"/>
  <c r="N231" i="4"/>
  <c r="M231" i="4"/>
  <c r="N254" i="4"/>
  <c r="M254" i="4"/>
  <c r="N297" i="4"/>
  <c r="M297" i="4"/>
  <c r="N77" i="4"/>
  <c r="M77" i="4"/>
  <c r="N104" i="4"/>
  <c r="M104" i="4"/>
  <c r="M160" i="4"/>
  <c r="N160" i="4"/>
  <c r="N21" i="4"/>
  <c r="M21" i="4"/>
  <c r="N92" i="4"/>
  <c r="M92" i="4"/>
  <c r="M232" i="4"/>
  <c r="N232" i="4"/>
  <c r="N96" i="4"/>
  <c r="M96" i="4"/>
  <c r="M4" i="4"/>
  <c r="N4" i="4"/>
  <c r="N125" i="4"/>
  <c r="M125" i="4"/>
  <c r="N247" i="4"/>
  <c r="M247" i="4"/>
  <c r="N34" i="4"/>
  <c r="M34" i="4"/>
  <c r="M123" i="4"/>
  <c r="N123" i="4"/>
  <c r="M136" i="4"/>
  <c r="N136" i="4"/>
  <c r="N49" i="4"/>
  <c r="M49" i="4"/>
  <c r="N213" i="4"/>
  <c r="M213" i="4"/>
  <c r="M87" i="4"/>
  <c r="N87" i="4"/>
  <c r="M159" i="4"/>
  <c r="N159" i="4"/>
  <c r="N30" i="4"/>
  <c r="M30" i="4"/>
  <c r="N89" i="4"/>
  <c r="M89" i="4"/>
  <c r="N11" i="4"/>
  <c r="M11" i="4"/>
  <c r="O11" i="4" s="1"/>
  <c r="M226" i="4"/>
  <c r="N226" i="4"/>
  <c r="N281" i="4"/>
  <c r="M281" i="4"/>
  <c r="N55" i="4"/>
  <c r="M55" i="4"/>
  <c r="M298" i="4"/>
  <c r="N298" i="4"/>
  <c r="N25" i="4"/>
  <c r="M25" i="4"/>
  <c r="N153" i="4"/>
  <c r="M153" i="4"/>
  <c r="O153" i="4" s="1"/>
  <c r="M288" i="4"/>
  <c r="N288" i="4"/>
  <c r="N147" i="4"/>
  <c r="M147" i="4"/>
  <c r="N121" i="4"/>
  <c r="M121" i="4"/>
  <c r="N57" i="4"/>
  <c r="M57" i="4"/>
  <c r="N78" i="4"/>
  <c r="M78" i="4"/>
  <c r="N279" i="4"/>
  <c r="M279" i="4"/>
  <c r="N135" i="4"/>
  <c r="M135" i="4"/>
  <c r="N90" i="4"/>
  <c r="M90" i="4"/>
  <c r="N168" i="4"/>
  <c r="M168" i="4"/>
  <c r="N206" i="4"/>
  <c r="M206" i="4"/>
  <c r="M260" i="4"/>
  <c r="N260" i="4"/>
  <c r="M236" i="4"/>
  <c r="N236" i="4"/>
  <c r="N27" i="4"/>
  <c r="M27" i="4"/>
  <c r="N134" i="4"/>
  <c r="M134" i="4"/>
  <c r="N293" i="4"/>
  <c r="M293" i="4"/>
  <c r="N126" i="4"/>
  <c r="M126" i="4"/>
  <c r="N284" i="4"/>
  <c r="M284" i="4"/>
  <c r="N265" i="4"/>
  <c r="M265" i="4"/>
  <c r="O265" i="4" s="1"/>
  <c r="N29" i="4"/>
  <c r="M29" i="4"/>
  <c r="M294" i="4"/>
  <c r="N294" i="4"/>
  <c r="N180" i="4"/>
  <c r="M180" i="4"/>
  <c r="N58" i="4"/>
  <c r="M58" i="4"/>
  <c r="N143" i="4"/>
  <c r="M143" i="4"/>
  <c r="M262" i="4"/>
  <c r="N262" i="4"/>
  <c r="N166" i="4"/>
  <c r="M166" i="4"/>
  <c r="N91" i="4"/>
  <c r="M91" i="4"/>
  <c r="N105" i="4"/>
  <c r="M105" i="4"/>
  <c r="M256" i="4"/>
  <c r="N256" i="4"/>
  <c r="N141" i="4"/>
  <c r="M141" i="4"/>
  <c r="M252" i="4"/>
  <c r="N252" i="4"/>
  <c r="N158" i="4"/>
  <c r="M158" i="4"/>
  <c r="N137" i="4"/>
  <c r="M137" i="4"/>
  <c r="M215" i="4"/>
  <c r="N215" i="4"/>
  <c r="N145" i="4"/>
  <c r="M145" i="4"/>
  <c r="N299" i="4"/>
  <c r="M299" i="4"/>
  <c r="N237" i="4"/>
  <c r="M237" i="4"/>
  <c r="O237" i="4" s="1"/>
  <c r="N101" i="4"/>
  <c r="M101" i="4"/>
  <c r="M270" i="4"/>
  <c r="N270" i="4"/>
  <c r="N61" i="4"/>
  <c r="M61" i="4"/>
  <c r="M195" i="4"/>
  <c r="N195" i="4"/>
  <c r="N99" i="4"/>
  <c r="M99" i="4"/>
  <c r="M259" i="4"/>
  <c r="N259" i="4"/>
  <c r="N97" i="4"/>
  <c r="M97" i="4"/>
  <c r="M244" i="4"/>
  <c r="N244" i="4"/>
  <c r="N86" i="4"/>
  <c r="M86" i="4"/>
  <c r="N296" i="4"/>
  <c r="M296" i="4"/>
  <c r="N22" i="4"/>
  <c r="M22" i="4"/>
  <c r="N26" i="4"/>
  <c r="M26" i="4"/>
  <c r="N194" i="4"/>
  <c r="M194" i="4"/>
  <c r="N7" i="4"/>
  <c r="M7" i="4"/>
  <c r="N182" i="4"/>
  <c r="M182" i="4"/>
  <c r="N204" i="4"/>
  <c r="M204" i="4"/>
  <c r="N249" i="4"/>
  <c r="M249" i="4"/>
  <c r="N253" i="4"/>
  <c r="M253" i="4"/>
  <c r="N223" i="4"/>
  <c r="M223" i="4"/>
  <c r="N183" i="4"/>
  <c r="M183" i="4"/>
  <c r="N289" i="4"/>
  <c r="M289" i="4"/>
  <c r="N211" i="4"/>
  <c r="M211" i="4"/>
  <c r="N50" i="4"/>
  <c r="M50" i="4"/>
  <c r="N54" i="4"/>
  <c r="M54" i="4"/>
  <c r="N71" i="4"/>
  <c r="M71" i="4"/>
  <c r="N290" i="4"/>
  <c r="M290" i="4"/>
  <c r="N83" i="4"/>
  <c r="M83" i="4"/>
  <c r="N190" i="4"/>
  <c r="M190" i="4"/>
  <c r="N210" i="4"/>
  <c r="M210" i="4"/>
  <c r="N152" i="4"/>
  <c r="M152" i="4"/>
  <c r="N169" i="4"/>
  <c r="M169" i="4"/>
  <c r="N175" i="4"/>
  <c r="M175" i="4"/>
  <c r="M238" i="4"/>
  <c r="N238" i="4"/>
  <c r="N197" i="4"/>
  <c r="M197" i="4"/>
  <c r="M219" i="4"/>
  <c r="N219" i="4"/>
  <c r="N45" i="4"/>
  <c r="M45" i="4"/>
  <c r="N274" i="4"/>
  <c r="M274" i="4"/>
  <c r="N303" i="4"/>
  <c r="M303" i="4"/>
  <c r="N42" i="4"/>
  <c r="M42" i="4"/>
  <c r="N46" i="4"/>
  <c r="M46" i="4"/>
  <c r="N258" i="4"/>
  <c r="M258" i="4"/>
  <c r="M286" i="4"/>
  <c r="N286" i="4"/>
  <c r="N295" i="4"/>
  <c r="M295" i="4"/>
  <c r="N82" i="4"/>
  <c r="M82" i="4"/>
  <c r="N255" i="4"/>
  <c r="M255" i="4"/>
  <c r="N76" i="4"/>
  <c r="M76" i="4"/>
  <c r="N132" i="4"/>
  <c r="M132" i="4"/>
  <c r="N119" i="4"/>
  <c r="M119" i="4"/>
  <c r="N63" i="4"/>
  <c r="M63" i="4"/>
  <c r="N234" i="4"/>
  <c r="M234" i="4"/>
  <c r="N264" i="4"/>
  <c r="M264" i="4"/>
  <c r="N200" i="4"/>
  <c r="M200" i="4"/>
  <c r="N122" i="4"/>
  <c r="M122" i="4"/>
  <c r="N216" i="4"/>
  <c r="M216" i="4"/>
  <c r="N278" i="4"/>
  <c r="M278" i="4"/>
  <c r="N150" i="4"/>
  <c r="M150" i="4"/>
  <c r="N120" i="4"/>
  <c r="M120" i="4"/>
  <c r="N198" i="4"/>
  <c r="M198" i="4"/>
  <c r="N193" i="4"/>
  <c r="M193" i="4"/>
  <c r="N117" i="4"/>
  <c r="M117" i="4"/>
  <c r="N60" i="4"/>
  <c r="M60" i="4"/>
  <c r="N127" i="4"/>
  <c r="M127" i="4"/>
  <c r="N37" i="4"/>
  <c r="M37" i="4"/>
  <c r="N114" i="4"/>
  <c r="M114" i="4"/>
  <c r="O114" i="4" s="1"/>
  <c r="M124" i="4"/>
  <c r="N124" i="4"/>
  <c r="N199" i="4"/>
  <c r="M199" i="4"/>
  <c r="N218" i="4"/>
  <c r="M218" i="4"/>
  <c r="N154" i="4"/>
  <c r="M154" i="4"/>
  <c r="N94" i="4"/>
  <c r="M94" i="4"/>
  <c r="N191" i="4"/>
  <c r="M191" i="4"/>
  <c r="O191" i="4" s="1"/>
  <c r="N129" i="4"/>
  <c r="M129" i="4"/>
  <c r="M196" i="4"/>
  <c r="N196" i="4"/>
  <c r="N161" i="4"/>
  <c r="M161" i="4"/>
  <c r="N12" i="4"/>
  <c r="M12" i="4"/>
  <c r="N165" i="4"/>
  <c r="M165" i="4"/>
  <c r="N65" i="4"/>
  <c r="M65" i="4"/>
  <c r="N81" i="4"/>
  <c r="M81" i="4"/>
  <c r="N98" i="4"/>
  <c r="M98" i="4"/>
  <c r="N292" i="4"/>
  <c r="M292" i="4"/>
  <c r="M28" i="4"/>
  <c r="N28" i="4"/>
  <c r="N261" i="4"/>
  <c r="M261" i="4"/>
  <c r="O38" i="4" l="1"/>
  <c r="O100" i="4"/>
  <c r="O81" i="4"/>
  <c r="O129" i="4"/>
  <c r="O124" i="4"/>
  <c r="O193" i="4"/>
  <c r="O122" i="4"/>
  <c r="O132" i="4"/>
  <c r="O258" i="4"/>
  <c r="O210" i="4"/>
  <c r="O50" i="4"/>
  <c r="O203" i="4"/>
  <c r="O49" i="4"/>
  <c r="O249" i="4"/>
  <c r="O22" i="4"/>
  <c r="O77" i="4"/>
  <c r="O301" i="4"/>
  <c r="O207" i="4"/>
  <c r="O111" i="4"/>
  <c r="O228" i="4"/>
  <c r="O155" i="4"/>
  <c r="O113" i="4"/>
  <c r="O6" i="4"/>
  <c r="O240" i="4"/>
  <c r="O67" i="4"/>
  <c r="O66" i="4"/>
  <c r="O32" i="4"/>
  <c r="O108" i="4"/>
  <c r="O61" i="4"/>
  <c r="O105" i="4"/>
  <c r="O180" i="4"/>
  <c r="O293" i="4"/>
  <c r="O168" i="4"/>
  <c r="O121" i="4"/>
  <c r="O55" i="4"/>
  <c r="O34" i="4"/>
  <c r="O212" i="4"/>
  <c r="O176" i="4"/>
  <c r="O87" i="4"/>
  <c r="O287" i="4"/>
  <c r="O280" i="4"/>
  <c r="O251" i="4"/>
  <c r="O214" i="4"/>
  <c r="O195" i="4"/>
  <c r="O52" i="4"/>
  <c r="O256" i="4"/>
  <c r="O47" i="4"/>
  <c r="O185" i="4"/>
  <c r="O19" i="4"/>
  <c r="O157" i="4"/>
  <c r="O235" i="4"/>
  <c r="O148" i="4"/>
  <c r="O291" i="4"/>
  <c r="O79" i="4"/>
  <c r="O162" i="4"/>
  <c r="O302" i="4"/>
  <c r="O300" i="4"/>
  <c r="O151" i="4"/>
  <c r="O189" i="4"/>
  <c r="O269" i="4"/>
  <c r="O95" i="4"/>
  <c r="O198" i="4"/>
  <c r="O200" i="4"/>
  <c r="O76" i="4"/>
  <c r="O208" i="4"/>
  <c r="O23" i="4"/>
  <c r="O178" i="4"/>
  <c r="O243" i="4"/>
  <c r="O53" i="4"/>
  <c r="O28" i="4"/>
  <c r="O12" i="4"/>
  <c r="O154" i="4"/>
  <c r="O127" i="4"/>
  <c r="O150" i="4"/>
  <c r="O234" i="4"/>
  <c r="O82" i="4"/>
  <c r="O303" i="4"/>
  <c r="O175" i="4"/>
  <c r="O290" i="4"/>
  <c r="O183" i="4"/>
  <c r="O7" i="4"/>
  <c r="O244" i="4"/>
  <c r="O137" i="4"/>
  <c r="O91" i="4"/>
  <c r="O134" i="4"/>
  <c r="O90" i="4"/>
  <c r="O147" i="4"/>
  <c r="O43" i="4"/>
  <c r="O196" i="4"/>
  <c r="O286" i="4"/>
  <c r="O259" i="4"/>
  <c r="O279" i="4"/>
  <c r="O118" i="4"/>
  <c r="O224" i="4"/>
  <c r="O172" i="4"/>
  <c r="O20" i="4"/>
  <c r="O9" i="4"/>
  <c r="O220" i="4"/>
  <c r="O285" i="4"/>
  <c r="O202" i="4"/>
  <c r="O16" i="4"/>
  <c r="O246" i="4"/>
  <c r="O136" i="4"/>
  <c r="O99" i="4"/>
  <c r="O46" i="4"/>
  <c r="O197" i="4"/>
  <c r="O190" i="4"/>
  <c r="O211" i="4"/>
  <c r="O204" i="4"/>
  <c r="O296" i="4"/>
  <c r="O57" i="4"/>
  <c r="O30" i="4"/>
  <c r="O232" i="4"/>
  <c r="O297" i="4"/>
  <c r="O283" i="4"/>
  <c r="O5" i="4"/>
  <c r="O260" i="4"/>
  <c r="O238" i="4"/>
  <c r="O21" i="4"/>
  <c r="O231" i="4"/>
  <c r="O130" i="4"/>
  <c r="O85" i="4"/>
  <c r="O177" i="4"/>
  <c r="O131" i="4"/>
  <c r="O292" i="4"/>
  <c r="O161" i="4"/>
  <c r="O218" i="4"/>
  <c r="O60" i="4"/>
  <c r="O278" i="4"/>
  <c r="O63" i="4"/>
  <c r="O295" i="4"/>
  <c r="O274" i="4"/>
  <c r="O169" i="4"/>
  <c r="O71" i="4"/>
  <c r="O223" i="4"/>
  <c r="O194" i="4"/>
  <c r="O97" i="4"/>
  <c r="O135" i="4"/>
  <c r="O213" i="4"/>
  <c r="O125" i="4"/>
  <c r="O160" i="4"/>
  <c r="O115" i="4"/>
  <c r="O164" i="4"/>
  <c r="O31" i="4"/>
  <c r="O170" i="4"/>
  <c r="O133" i="4"/>
  <c r="O128" i="4"/>
  <c r="O14" i="4"/>
  <c r="O149" i="4"/>
  <c r="O109" i="4"/>
  <c r="O215" i="4"/>
  <c r="O298" i="4"/>
  <c r="O123" i="4"/>
  <c r="O272" i="4"/>
  <c r="O270" i="4"/>
  <c r="O294" i="4"/>
  <c r="O56" i="4"/>
  <c r="O174" i="4"/>
  <c r="O245" i="4"/>
  <c r="O40" i="4"/>
  <c r="O229" i="4"/>
  <c r="O163" i="4"/>
  <c r="O64" i="4"/>
  <c r="O98" i="4"/>
  <c r="O101" i="4"/>
  <c r="O158" i="4"/>
  <c r="O166" i="4"/>
  <c r="O29" i="4"/>
  <c r="O27" i="4"/>
  <c r="O159" i="4"/>
  <c r="O92" i="4"/>
  <c r="O205" i="4"/>
  <c r="O217" i="4"/>
  <c r="O41" i="4"/>
  <c r="O282" i="4"/>
  <c r="O72" i="4"/>
  <c r="O110" i="4"/>
  <c r="O73" i="4"/>
  <c r="O15" i="4"/>
  <c r="O51" i="4"/>
  <c r="O59" i="4"/>
  <c r="O266" i="4"/>
  <c r="O199" i="4"/>
  <c r="O117" i="4"/>
  <c r="O216" i="4"/>
  <c r="O119" i="4"/>
  <c r="O45" i="4"/>
  <c r="O152" i="4"/>
  <c r="O54" i="4"/>
  <c r="O253" i="4"/>
  <c r="O26" i="4"/>
  <c r="O281" i="4"/>
  <c r="O247" i="4"/>
  <c r="O254" i="4"/>
  <c r="O93" i="4"/>
  <c r="O181" i="4"/>
  <c r="O188" i="4"/>
  <c r="O225" i="4"/>
  <c r="O248" i="4"/>
  <c r="O233" i="4"/>
  <c r="O35" i="4"/>
  <c r="O39" i="4"/>
  <c r="O13" i="4"/>
  <c r="O201" i="4"/>
  <c r="O209" i="4"/>
  <c r="O140" i="4"/>
  <c r="O184" i="4"/>
  <c r="O192" i="4"/>
  <c r="O252" i="4"/>
  <c r="O262" i="4"/>
  <c r="O236" i="4"/>
  <c r="O239" i="4"/>
  <c r="O65" i="4"/>
  <c r="O219" i="4"/>
  <c r="O299" i="4"/>
  <c r="O141" i="4"/>
  <c r="O143" i="4"/>
  <c r="O284" i="4"/>
  <c r="O288" i="4"/>
  <c r="O226" i="4"/>
  <c r="O250" i="4"/>
  <c r="O8" i="4"/>
  <c r="O156" i="4"/>
  <c r="O271" i="4"/>
  <c r="O277" i="4"/>
  <c r="O112" i="4"/>
  <c r="O18" i="4"/>
  <c r="O107" i="4"/>
  <c r="O241" i="4"/>
  <c r="O68" i="4"/>
  <c r="O88" i="4"/>
  <c r="O268" i="4"/>
  <c r="O242" i="4"/>
  <c r="O70" i="4"/>
  <c r="O261" i="4"/>
  <c r="O165" i="4"/>
  <c r="O145" i="4"/>
  <c r="O58" i="4"/>
  <c r="O126" i="4"/>
  <c r="O206" i="4"/>
  <c r="O78" i="4"/>
  <c r="O4" i="4"/>
  <c r="O146" i="4"/>
  <c r="O267" i="4"/>
  <c r="O222" i="4"/>
  <c r="O84" i="4"/>
  <c r="O221" i="4"/>
  <c r="O275" i="4"/>
  <c r="O94" i="4"/>
  <c r="O37" i="4"/>
  <c r="O120" i="4"/>
  <c r="O264" i="4"/>
  <c r="O255" i="4"/>
  <c r="O42" i="4"/>
  <c r="O83" i="4"/>
  <c r="O289" i="4"/>
  <c r="O182" i="4"/>
  <c r="O86" i="4"/>
  <c r="O25" i="4"/>
  <c r="O89" i="4"/>
  <c r="O96" i="4"/>
  <c r="O104" i="4"/>
  <c r="O142" i="4"/>
  <c r="O230" i="4"/>
  <c r="O257" i="4"/>
  <c r="O276" i="4"/>
  <c r="O17" i="4"/>
  <c r="O263" i="4"/>
  <c r="O167" i="4"/>
  <c r="O74" i="4"/>
  <c r="O139" i="4"/>
  <c r="O179" i="4"/>
  <c r="O102" i="4"/>
  <c r="O36" i="4"/>
  <c r="O24" i="4"/>
  <c r="O13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<sst xmlns="http://schemas.openxmlformats.org/spreadsheetml/2006/main" count="1709" uniqueCount="813">
  <si>
    <t>Emp No</t>
  </si>
  <si>
    <t>Employee Name</t>
  </si>
  <si>
    <t>Location</t>
  </si>
  <si>
    <t>Department</t>
  </si>
  <si>
    <t>Designation</t>
  </si>
  <si>
    <t>EMP001</t>
  </si>
  <si>
    <t>Vijay V</t>
  </si>
  <si>
    <t>Hyderabad</t>
  </si>
  <si>
    <t>Production</t>
  </si>
  <si>
    <t>Production Executive</t>
  </si>
  <si>
    <t>EMP002</t>
  </si>
  <si>
    <t>Sathish V</t>
  </si>
  <si>
    <t>Shift Incharge</t>
  </si>
  <si>
    <t>EMP003</t>
  </si>
  <si>
    <t>Aravind B</t>
  </si>
  <si>
    <t>Chennai</t>
  </si>
  <si>
    <t>Business Development</t>
  </si>
  <si>
    <t>Senior Business Development Executive</t>
  </si>
  <si>
    <t>EMP004</t>
  </si>
  <si>
    <t>Ramesh Kumar</t>
  </si>
  <si>
    <t>Bengaluru</t>
  </si>
  <si>
    <t>Front Office</t>
  </si>
  <si>
    <t>Receptionist</t>
  </si>
  <si>
    <t>EMP005</t>
  </si>
  <si>
    <t>Naveen Kumar</t>
  </si>
  <si>
    <t>Coimbatore</t>
  </si>
  <si>
    <t>Front Office Executive</t>
  </si>
  <si>
    <t>EMP006</t>
  </si>
  <si>
    <t>Karthik T</t>
  </si>
  <si>
    <t>Admin</t>
  </si>
  <si>
    <t>Admin Manager</t>
  </si>
  <si>
    <t>EMP007</t>
  </si>
  <si>
    <t>Arun B</t>
  </si>
  <si>
    <t>Kochi</t>
  </si>
  <si>
    <t>Office Coordinator</t>
  </si>
  <si>
    <t>EMP008</t>
  </si>
  <si>
    <t>Sathish G</t>
  </si>
  <si>
    <t>Accounts</t>
  </si>
  <si>
    <t>Accountant</t>
  </si>
  <si>
    <t>EMP009</t>
  </si>
  <si>
    <t>Yuvaraj Babu</t>
  </si>
  <si>
    <t>Noida</t>
  </si>
  <si>
    <t>Sales</t>
  </si>
  <si>
    <t>Senior Sales Executive</t>
  </si>
  <si>
    <t>EMP010</t>
  </si>
  <si>
    <t>Sanjay G</t>
  </si>
  <si>
    <t>Delhi</t>
  </si>
  <si>
    <t>Procurement</t>
  </si>
  <si>
    <t>Buyer</t>
  </si>
  <si>
    <t>EMP011</t>
  </si>
  <si>
    <t>Vijay T</t>
  </si>
  <si>
    <t>Finance Executive</t>
  </si>
  <si>
    <t>EMP012</t>
  </si>
  <si>
    <t>Mohan M</t>
  </si>
  <si>
    <t>Office Administrator</t>
  </si>
  <si>
    <t>EMP013</t>
  </si>
  <si>
    <t>Madhan Selvam</t>
  </si>
  <si>
    <t>Mumbai</t>
  </si>
  <si>
    <t>Senior Accountant</t>
  </si>
  <si>
    <t>EMP014</t>
  </si>
  <si>
    <t>Vignesh P</t>
  </si>
  <si>
    <t>IT</t>
  </si>
  <si>
    <t>Network Engineer</t>
  </si>
  <si>
    <t>EMP015</t>
  </si>
  <si>
    <t>Yogesh Babu</t>
  </si>
  <si>
    <t>EMP016</t>
  </si>
  <si>
    <t>Lokesh R</t>
  </si>
  <si>
    <t>Sourcing Executive</t>
  </si>
  <si>
    <t>EMP017</t>
  </si>
  <si>
    <t>Vignesh Kannan</t>
  </si>
  <si>
    <t>Corporate Sales Executive</t>
  </si>
  <si>
    <t>EMP018</t>
  </si>
  <si>
    <t>Naveen Prasad</t>
  </si>
  <si>
    <t>Pune</t>
  </si>
  <si>
    <t>Admin Executive</t>
  </si>
  <si>
    <t>EMP019</t>
  </si>
  <si>
    <t>Arun N</t>
  </si>
  <si>
    <t>Maintenance</t>
  </si>
  <si>
    <t>Mechanical Technician</t>
  </si>
  <si>
    <t>EMP020</t>
  </si>
  <si>
    <t>Karthik Narayanan</t>
  </si>
  <si>
    <t>Ahmedabad</t>
  </si>
  <si>
    <t>HR</t>
  </si>
  <si>
    <t>Recruiter</t>
  </si>
  <si>
    <t>EMP021</t>
  </si>
  <si>
    <t>Arun Raj</t>
  </si>
  <si>
    <t>Growth Executive</t>
  </si>
  <si>
    <t>EMP022</t>
  </si>
  <si>
    <t>Madhan Raj</t>
  </si>
  <si>
    <t>EMP023</t>
  </si>
  <si>
    <t>Praveen Selvam</t>
  </si>
  <si>
    <t>Guest Relations Executive</t>
  </si>
  <si>
    <t>EMP024</t>
  </si>
  <si>
    <t>Harish Raja</t>
  </si>
  <si>
    <t>EMP025</t>
  </si>
  <si>
    <t>Harish V</t>
  </si>
  <si>
    <t>Production Supervisor</t>
  </si>
  <si>
    <t>EMP026</t>
  </si>
  <si>
    <t>Arun Murugan</t>
  </si>
  <si>
    <t>Purchase Executive</t>
  </si>
  <si>
    <t>EMP027</t>
  </si>
  <si>
    <t>Prakash N</t>
  </si>
  <si>
    <t>Electrical Technician</t>
  </si>
  <si>
    <t>EMP028</t>
  </si>
  <si>
    <t>Vinoth V</t>
  </si>
  <si>
    <t>Key Account Executive</t>
  </si>
  <si>
    <t>EMP029</t>
  </si>
  <si>
    <t>Harish N</t>
  </si>
  <si>
    <t>EMP030</t>
  </si>
  <si>
    <t>Yuvaraj Murugan</t>
  </si>
  <si>
    <t>EMP031</t>
  </si>
  <si>
    <t>Aravind M</t>
  </si>
  <si>
    <t>Customer Relationship</t>
  </si>
  <si>
    <t>Customer Service Executive</t>
  </si>
  <si>
    <t>EMP032</t>
  </si>
  <si>
    <t>Nithin S</t>
  </si>
  <si>
    <t>EMP033</t>
  </si>
  <si>
    <t>Karthik R</t>
  </si>
  <si>
    <t>Back End</t>
  </si>
  <si>
    <t>Data Entry Executive</t>
  </si>
  <si>
    <t>EMP034</t>
  </si>
  <si>
    <t>Praveen S</t>
  </si>
  <si>
    <t>System Administrator</t>
  </si>
  <si>
    <t>EMP035</t>
  </si>
  <si>
    <t>Manoj Kumar</t>
  </si>
  <si>
    <t>EMP036</t>
  </si>
  <si>
    <t>Madhan Narayanan</t>
  </si>
  <si>
    <t>EMP037</t>
  </si>
  <si>
    <t>Kishore Murugan</t>
  </si>
  <si>
    <t>Procurement Manager</t>
  </si>
  <si>
    <t>EMP038</t>
  </si>
  <si>
    <t>Kishore M</t>
  </si>
  <si>
    <t>EMP039</t>
  </si>
  <si>
    <t>Bharath S</t>
  </si>
  <si>
    <t>CRM Executive</t>
  </si>
  <si>
    <t>EMP040</t>
  </si>
  <si>
    <t>Ashwin G</t>
  </si>
  <si>
    <t>Area Sales Executive</t>
  </si>
  <si>
    <t>EMP041</t>
  </si>
  <si>
    <t>Ajay Raj</t>
  </si>
  <si>
    <t>EMP042</t>
  </si>
  <si>
    <t>Prakash S</t>
  </si>
  <si>
    <t>Accounts Manager</t>
  </si>
  <si>
    <t>EMP043</t>
  </si>
  <si>
    <t>Deepak Selvam</t>
  </si>
  <si>
    <t>Quality Inspector</t>
  </si>
  <si>
    <t>EMP044</t>
  </si>
  <si>
    <t>Karthik Krishnan</t>
  </si>
  <si>
    <t>EMP045</t>
  </si>
  <si>
    <t>Ajay Raja</t>
  </si>
  <si>
    <t>EMP046</t>
  </si>
  <si>
    <t>Aravind Selvam</t>
  </si>
  <si>
    <t>Production Manager</t>
  </si>
  <si>
    <t>EMP047</t>
  </si>
  <si>
    <t>Yuvaraj Raja</t>
  </si>
  <si>
    <t>EMP048</t>
  </si>
  <si>
    <t>Aravind Krishnan</t>
  </si>
  <si>
    <t>Customer Relationship Officer</t>
  </si>
  <si>
    <t>EMP049</t>
  </si>
  <si>
    <t>Vijay Murugan</t>
  </si>
  <si>
    <t>Front Desk Coordinator</t>
  </si>
  <si>
    <t>EMP050</t>
  </si>
  <si>
    <t>Manoj P</t>
  </si>
  <si>
    <t>EMP051</t>
  </si>
  <si>
    <t>Vijay Babu</t>
  </si>
  <si>
    <t>Maintenance Manager</t>
  </si>
  <si>
    <t>EMP052</t>
  </si>
  <si>
    <t>Karthik Raja</t>
  </si>
  <si>
    <t>EMP053</t>
  </si>
  <si>
    <t>Naveen G</t>
  </si>
  <si>
    <t>EMP054</t>
  </si>
  <si>
    <t>Yuvaraj Krishnan</t>
  </si>
  <si>
    <t>EMP055</t>
  </si>
  <si>
    <t>Lokesh V</t>
  </si>
  <si>
    <t>Software Developer</t>
  </si>
  <si>
    <t>EMP056</t>
  </si>
  <si>
    <t>Yuvaraj P</t>
  </si>
  <si>
    <t>Operations Executive</t>
  </si>
  <si>
    <t>EMP057</t>
  </si>
  <si>
    <t>Ramesh B</t>
  </si>
  <si>
    <t>EMP058</t>
  </si>
  <si>
    <t>Arun T</t>
  </si>
  <si>
    <t>EMP059</t>
  </si>
  <si>
    <t>Ashwin Selvam</t>
  </si>
  <si>
    <t>EMP060</t>
  </si>
  <si>
    <t>Yogesh R</t>
  </si>
  <si>
    <t>EMP061</t>
  </si>
  <si>
    <t>Kishore P</t>
  </si>
  <si>
    <t>EMP062</t>
  </si>
  <si>
    <t>Manoj Raj</t>
  </si>
  <si>
    <t>Documentation Executive</t>
  </si>
  <si>
    <t>EMP063</t>
  </si>
  <si>
    <t>Rahul Kumar</t>
  </si>
  <si>
    <t>EMP064</t>
  </si>
  <si>
    <t>Ajay V</t>
  </si>
  <si>
    <t>EMP065</t>
  </si>
  <si>
    <t>Rahul P</t>
  </si>
  <si>
    <t>EMP066</t>
  </si>
  <si>
    <t>Saravanan K</t>
  </si>
  <si>
    <t>EMP067</t>
  </si>
  <si>
    <t>Vignesh Raja</t>
  </si>
  <si>
    <t>EMP068</t>
  </si>
  <si>
    <t>Vignesh V</t>
  </si>
  <si>
    <t>HR Manager</t>
  </si>
  <si>
    <t>EMP069</t>
  </si>
  <si>
    <t>Yogesh M</t>
  </si>
  <si>
    <t>EMP070</t>
  </si>
  <si>
    <t>Rahul Krishnan</t>
  </si>
  <si>
    <t>EMP071</t>
  </si>
  <si>
    <t>Yuvaraj Kumar</t>
  </si>
  <si>
    <t>EMP072</t>
  </si>
  <si>
    <t>Sanjay S</t>
  </si>
  <si>
    <t>EMP073</t>
  </si>
  <si>
    <t>Sanjay Kumar</t>
  </si>
  <si>
    <t>EMP074</t>
  </si>
  <si>
    <t>Vinoth Raja</t>
  </si>
  <si>
    <t>Facility Executive</t>
  </si>
  <si>
    <t>EMP075</t>
  </si>
  <si>
    <t>Madhan B</t>
  </si>
  <si>
    <t>Maintenance Engineer</t>
  </si>
  <si>
    <t>EMP076</t>
  </si>
  <si>
    <t>Prakash T</t>
  </si>
  <si>
    <t>EMP077</t>
  </si>
  <si>
    <t>Mohan Narayanan</t>
  </si>
  <si>
    <t>EMP078</t>
  </si>
  <si>
    <t>Harish Babu</t>
  </si>
  <si>
    <t>EMP079</t>
  </si>
  <si>
    <t>Nithin P</t>
  </si>
  <si>
    <t>EMP080</t>
  </si>
  <si>
    <t>Aravind N</t>
  </si>
  <si>
    <t>Business Development Manager</t>
  </si>
  <si>
    <t>EMP081</t>
  </si>
  <si>
    <t>Aravind S</t>
  </si>
  <si>
    <t>IT Manager</t>
  </si>
  <si>
    <t>EMP082</t>
  </si>
  <si>
    <t>Bharath K</t>
  </si>
  <si>
    <t>Customer Success Executive</t>
  </si>
  <si>
    <t>EMP083</t>
  </si>
  <si>
    <t>Arun R</t>
  </si>
  <si>
    <t>EMP084</t>
  </si>
  <si>
    <t>Arun Raja</t>
  </si>
  <si>
    <t>EMP085</t>
  </si>
  <si>
    <t>Manoj Krishnan</t>
  </si>
  <si>
    <t>EMP086</t>
  </si>
  <si>
    <t>Naveen B</t>
  </si>
  <si>
    <t>EMP087</t>
  </si>
  <si>
    <t>Suresh Kumar</t>
  </si>
  <si>
    <t>EMP088</t>
  </si>
  <si>
    <t>Ashwin R</t>
  </si>
  <si>
    <t>EMP089</t>
  </si>
  <si>
    <t>Vinoth G</t>
  </si>
  <si>
    <t>EMP090</t>
  </si>
  <si>
    <t>Ajay K</t>
  </si>
  <si>
    <t>EMP091</t>
  </si>
  <si>
    <t>Karthik K</t>
  </si>
  <si>
    <t>EMP092</t>
  </si>
  <si>
    <t>Karthik Babu</t>
  </si>
  <si>
    <t>EMP093</t>
  </si>
  <si>
    <t>Suresh Raj</t>
  </si>
  <si>
    <t>EMP094</t>
  </si>
  <si>
    <t>Saravanan Kumar</t>
  </si>
  <si>
    <t>Sales Executive</t>
  </si>
  <si>
    <t>EMP095</t>
  </si>
  <si>
    <t>Lokesh Kumar</t>
  </si>
  <si>
    <t>EMP096</t>
  </si>
  <si>
    <t>Vijay K</t>
  </si>
  <si>
    <t>IT Support Engineer</t>
  </si>
  <si>
    <t>EMP097</t>
  </si>
  <si>
    <t>Sanjay Kannan</t>
  </si>
  <si>
    <t>EMP098</t>
  </si>
  <si>
    <t>Yogesh Kannan</t>
  </si>
  <si>
    <t>EMP099</t>
  </si>
  <si>
    <t>Yuvaraj N</t>
  </si>
  <si>
    <t>EMP100</t>
  </si>
  <si>
    <t>Deepak K</t>
  </si>
  <si>
    <t>EMP101</t>
  </si>
  <si>
    <t>Rahul Babu</t>
  </si>
  <si>
    <t>EMP102</t>
  </si>
  <si>
    <t>Deepak N</t>
  </si>
  <si>
    <t>EMP103</t>
  </si>
  <si>
    <t>Kishore G</t>
  </si>
  <si>
    <t>EMP104</t>
  </si>
  <si>
    <t>Deepak P</t>
  </si>
  <si>
    <t>Sales Manager</t>
  </si>
  <si>
    <t>EMP105</t>
  </si>
  <si>
    <t>Nithin V</t>
  </si>
  <si>
    <t>EMP106</t>
  </si>
  <si>
    <t>Nithin Raj</t>
  </si>
  <si>
    <t>EMP107</t>
  </si>
  <si>
    <t>Dinesh Narayanan</t>
  </si>
  <si>
    <t>EMP108</t>
  </si>
  <si>
    <t>Sanjay Raj</t>
  </si>
  <si>
    <t>EMP109</t>
  </si>
  <si>
    <t>Aravind Narayanan</t>
  </si>
  <si>
    <t>EMP110</t>
  </si>
  <si>
    <t>Vijay P</t>
  </si>
  <si>
    <t>EMP111</t>
  </si>
  <si>
    <t>Rahul T</t>
  </si>
  <si>
    <t>EMP112</t>
  </si>
  <si>
    <t>Prakash Selvam</t>
  </si>
  <si>
    <t>EMP113</t>
  </si>
  <si>
    <t>Sanjay N</t>
  </si>
  <si>
    <t>EMP114</t>
  </si>
  <si>
    <t>Naveen Selvam</t>
  </si>
  <si>
    <t>Operations Manager</t>
  </si>
  <si>
    <t>EMP115</t>
  </si>
  <si>
    <t>Vijay Raj</t>
  </si>
  <si>
    <t>EMP116</t>
  </si>
  <si>
    <t>Suresh Raja</t>
  </si>
  <si>
    <t>Senior HR Executive</t>
  </si>
  <si>
    <t>EMP117</t>
  </si>
  <si>
    <t>Kishore S</t>
  </si>
  <si>
    <t>EMP118</t>
  </si>
  <si>
    <t>Prakash Raj</t>
  </si>
  <si>
    <t>EMP119</t>
  </si>
  <si>
    <t>Saravanan Prasad</t>
  </si>
  <si>
    <t>EMP120</t>
  </si>
  <si>
    <t>Vignesh Prasad</t>
  </si>
  <si>
    <t>EMP121</t>
  </si>
  <si>
    <t>Ganesh Prasad</t>
  </si>
  <si>
    <t>EMP122</t>
  </si>
  <si>
    <t>Praveen Raja</t>
  </si>
  <si>
    <t>EMP123</t>
  </si>
  <si>
    <t>Kishore R</t>
  </si>
  <si>
    <t>Front Office Manager</t>
  </si>
  <si>
    <t>EMP124</t>
  </si>
  <si>
    <t>Vinoth B</t>
  </si>
  <si>
    <t>EMP125</t>
  </si>
  <si>
    <t>Karthik Prasad</t>
  </si>
  <si>
    <t>Payroll Executive</t>
  </si>
  <si>
    <t>EMP126</t>
  </si>
  <si>
    <t>Saravanan B</t>
  </si>
  <si>
    <t>EMP127</t>
  </si>
  <si>
    <t>Dinesh Krishnan</t>
  </si>
  <si>
    <t>EMP128</t>
  </si>
  <si>
    <t>Arun Krishnan</t>
  </si>
  <si>
    <t>EMP129</t>
  </si>
  <si>
    <t>Dinesh Selvam</t>
  </si>
  <si>
    <t>EMP130</t>
  </si>
  <si>
    <t>Sanjay Babu</t>
  </si>
  <si>
    <t>EMP131</t>
  </si>
  <si>
    <t>Yuvaraj B</t>
  </si>
  <si>
    <t>EMP132</t>
  </si>
  <si>
    <t>Ganesh Raj</t>
  </si>
  <si>
    <t>EMP133</t>
  </si>
  <si>
    <t>Madhan Prasad</t>
  </si>
  <si>
    <t>EMP134</t>
  </si>
  <si>
    <t>Bharath Raj</t>
  </si>
  <si>
    <t>EMP135</t>
  </si>
  <si>
    <t>Manoj N</t>
  </si>
  <si>
    <t>EMP136</t>
  </si>
  <si>
    <t>Ashwin Raj</t>
  </si>
  <si>
    <t>EMP137</t>
  </si>
  <si>
    <t>Vignesh Kumar</t>
  </si>
  <si>
    <t>EMP138</t>
  </si>
  <si>
    <t>Aravind G</t>
  </si>
  <si>
    <t>EMP139</t>
  </si>
  <si>
    <t>Lokesh N</t>
  </si>
  <si>
    <t>EMP140</t>
  </si>
  <si>
    <t>Sathish S</t>
  </si>
  <si>
    <t>EMP141</t>
  </si>
  <si>
    <t>Saravanan Raja</t>
  </si>
  <si>
    <t>EMP142</t>
  </si>
  <si>
    <t>Karthik Raj</t>
  </si>
  <si>
    <t>EMP143</t>
  </si>
  <si>
    <t>Mohan G</t>
  </si>
  <si>
    <t>EMP144</t>
  </si>
  <si>
    <t>Ramesh N</t>
  </si>
  <si>
    <t>EMP145</t>
  </si>
  <si>
    <t>Naveen N</t>
  </si>
  <si>
    <t>EMP146</t>
  </si>
  <si>
    <t>Dinesh Kannan</t>
  </si>
  <si>
    <t>EMP147</t>
  </si>
  <si>
    <t>Vinoth Krishnan</t>
  </si>
  <si>
    <t>EMP148</t>
  </si>
  <si>
    <t>Bharath Kannan</t>
  </si>
  <si>
    <t>EMP149</t>
  </si>
  <si>
    <t>Vinoth Narayanan</t>
  </si>
  <si>
    <t>EMP150</t>
  </si>
  <si>
    <t>Mohan V</t>
  </si>
  <si>
    <t>EMP151</t>
  </si>
  <si>
    <t>Rahul R</t>
  </si>
  <si>
    <t>EMP152</t>
  </si>
  <si>
    <t>Harish R</t>
  </si>
  <si>
    <t>EMP153</t>
  </si>
  <si>
    <t>Ganesh M</t>
  </si>
  <si>
    <t>EMP154</t>
  </si>
  <si>
    <t>Yuvaraj Raj</t>
  </si>
  <si>
    <t>Maintenance Supervisor</t>
  </si>
  <si>
    <t>EMP155</t>
  </si>
  <si>
    <t>Vinoth Selvam</t>
  </si>
  <si>
    <t>EMP156</t>
  </si>
  <si>
    <t>Naveen M</t>
  </si>
  <si>
    <t>EMP157</t>
  </si>
  <si>
    <t>Yogesh S</t>
  </si>
  <si>
    <t>EMP158</t>
  </si>
  <si>
    <t>Karthik P</t>
  </si>
  <si>
    <t>EMP159</t>
  </si>
  <si>
    <t>Yuvaraj T</t>
  </si>
  <si>
    <t>EMP160</t>
  </si>
  <si>
    <t>Rahul B</t>
  </si>
  <si>
    <t>EMP161</t>
  </si>
  <si>
    <t>Deepak G</t>
  </si>
  <si>
    <t>EMP162</t>
  </si>
  <si>
    <t>Ramesh G</t>
  </si>
  <si>
    <t>Accounts Executive</t>
  </si>
  <si>
    <t>EMP163</t>
  </si>
  <si>
    <t>Praveen Kannan</t>
  </si>
  <si>
    <t>EMP164</t>
  </si>
  <si>
    <t>Yogesh T</t>
  </si>
  <si>
    <t>EMP165</t>
  </si>
  <si>
    <t>Sanjay Selvam</t>
  </si>
  <si>
    <t>EMP166</t>
  </si>
  <si>
    <t>Dinesh B</t>
  </si>
  <si>
    <t>EMP167</t>
  </si>
  <si>
    <t>Kishore Krishnan</t>
  </si>
  <si>
    <t>EMP168</t>
  </si>
  <si>
    <t>Saravanan Murugan</t>
  </si>
  <si>
    <t>EMP169</t>
  </si>
  <si>
    <t>Naveen S</t>
  </si>
  <si>
    <t>EMP170</t>
  </si>
  <si>
    <t>Praveen Babu</t>
  </si>
  <si>
    <t>EMP171</t>
  </si>
  <si>
    <t>Nithin K</t>
  </si>
  <si>
    <t>EMP172</t>
  </si>
  <si>
    <t>Praveen G</t>
  </si>
  <si>
    <t>EMP173</t>
  </si>
  <si>
    <t>Ajay Murugan</t>
  </si>
  <si>
    <t>EMP174</t>
  </si>
  <si>
    <t>Manoj Raja</t>
  </si>
  <si>
    <t>EMP175</t>
  </si>
  <si>
    <t>Ashwin Narayanan</t>
  </si>
  <si>
    <t>Business Development Executive</t>
  </si>
  <si>
    <t>EMP176</t>
  </si>
  <si>
    <t>Nithin Krishnan</t>
  </si>
  <si>
    <t>EMP177</t>
  </si>
  <si>
    <t>Deepak Narayanan</t>
  </si>
  <si>
    <t>EMP178</t>
  </si>
  <si>
    <t>Karthik Murugan</t>
  </si>
  <si>
    <t>EMP179</t>
  </si>
  <si>
    <t>Naveen Kannan</t>
  </si>
  <si>
    <t>EMP180</t>
  </si>
  <si>
    <t>Ramesh Kannan</t>
  </si>
  <si>
    <t>EMP181</t>
  </si>
  <si>
    <t>Manoj Narayanan</t>
  </si>
  <si>
    <t>EMP182</t>
  </si>
  <si>
    <t>Sathish Prasad</t>
  </si>
  <si>
    <t>EMP183</t>
  </si>
  <si>
    <t>Madhan N</t>
  </si>
  <si>
    <t>EMP184</t>
  </si>
  <si>
    <t>Ramesh R</t>
  </si>
  <si>
    <t>EMP185</t>
  </si>
  <si>
    <t>Nithin R</t>
  </si>
  <si>
    <t>EMP186</t>
  </si>
  <si>
    <t>Arun Narayanan</t>
  </si>
  <si>
    <t>EMP187</t>
  </si>
  <si>
    <t>Lokesh Raj</t>
  </si>
  <si>
    <t>EMP188</t>
  </si>
  <si>
    <t>Dinesh N</t>
  </si>
  <si>
    <t>EMP189</t>
  </si>
  <si>
    <t>Saravanan M</t>
  </si>
  <si>
    <t>EMP190</t>
  </si>
  <si>
    <t>Prakash Krishnan</t>
  </si>
  <si>
    <t>EMP191</t>
  </si>
  <si>
    <t>Saravanan S</t>
  </si>
  <si>
    <t>EMP192</t>
  </si>
  <si>
    <t>Ajay B</t>
  </si>
  <si>
    <t>EMP193</t>
  </si>
  <si>
    <t>Suresh P</t>
  </si>
  <si>
    <t>EMP194</t>
  </si>
  <si>
    <t>Bharath Krishnan</t>
  </si>
  <si>
    <t>EMP195</t>
  </si>
  <si>
    <t>Vinoth R</t>
  </si>
  <si>
    <t>EMP196</t>
  </si>
  <si>
    <t>Lokesh Raja</t>
  </si>
  <si>
    <t>EMP197</t>
  </si>
  <si>
    <t>Mohan K</t>
  </si>
  <si>
    <t>EMP198</t>
  </si>
  <si>
    <t>Ajay Narayanan</t>
  </si>
  <si>
    <t>EMP199</t>
  </si>
  <si>
    <t>Ashwin Kumar</t>
  </si>
  <si>
    <t>EMP200</t>
  </si>
  <si>
    <t>Vijay B</t>
  </si>
  <si>
    <t>EMP201</t>
  </si>
  <si>
    <t>Bharath Narayanan</t>
  </si>
  <si>
    <t>EMP202</t>
  </si>
  <si>
    <t>Mohan B</t>
  </si>
  <si>
    <t>EMP203</t>
  </si>
  <si>
    <t>Dinesh G</t>
  </si>
  <si>
    <t>EMP204</t>
  </si>
  <si>
    <t>Yogesh Narayanan</t>
  </si>
  <si>
    <t>EMP205</t>
  </si>
  <si>
    <t>Manoj M</t>
  </si>
  <si>
    <t>EMP206</t>
  </si>
  <si>
    <t>Naveen V</t>
  </si>
  <si>
    <t>EMP207</t>
  </si>
  <si>
    <t>Lokesh M</t>
  </si>
  <si>
    <t>EMP208</t>
  </si>
  <si>
    <t>Ganesh Krishnan</t>
  </si>
  <si>
    <t>EMP209</t>
  </si>
  <si>
    <t>Deepak B</t>
  </si>
  <si>
    <t>EMP210</t>
  </si>
  <si>
    <t>Madhan K</t>
  </si>
  <si>
    <t>EMP211</t>
  </si>
  <si>
    <t>Suresh Selvam</t>
  </si>
  <si>
    <t>EMP212</t>
  </si>
  <si>
    <t>Harish P</t>
  </si>
  <si>
    <t>EMP213</t>
  </si>
  <si>
    <t>Saravanan Narayanan</t>
  </si>
  <si>
    <t>EMP214</t>
  </si>
  <si>
    <t>Mohan Kannan</t>
  </si>
  <si>
    <t>EMP215</t>
  </si>
  <si>
    <t>Karthik V</t>
  </si>
  <si>
    <t>EMP216</t>
  </si>
  <si>
    <t>Arun Babu</t>
  </si>
  <si>
    <t>EMP217</t>
  </si>
  <si>
    <t>Praveen Raj</t>
  </si>
  <si>
    <t>EMP218</t>
  </si>
  <si>
    <t>Rahul V</t>
  </si>
  <si>
    <t>EMP219</t>
  </si>
  <si>
    <t>Arun S</t>
  </si>
  <si>
    <t>HR Executive</t>
  </si>
  <si>
    <t>EMP220</t>
  </si>
  <si>
    <t>Vignesh G</t>
  </si>
  <si>
    <t>EMP221</t>
  </si>
  <si>
    <t>Lokesh K</t>
  </si>
  <si>
    <t>EMP222</t>
  </si>
  <si>
    <t>Vinoth Murugan</t>
  </si>
  <si>
    <t>EMP223</t>
  </si>
  <si>
    <t>Prakash R</t>
  </si>
  <si>
    <t>EMP224</t>
  </si>
  <si>
    <t>Bharath Murugan</t>
  </si>
  <si>
    <t>EMP225</t>
  </si>
  <si>
    <t>Ramesh Prasad</t>
  </si>
  <si>
    <t>EMP226</t>
  </si>
  <si>
    <t>Sathish R</t>
  </si>
  <si>
    <t>EMP227</t>
  </si>
  <si>
    <t>Mohan N</t>
  </si>
  <si>
    <t>MIS Executive</t>
  </si>
  <si>
    <t>EMP228</t>
  </si>
  <si>
    <t>Naveen Murugan</t>
  </si>
  <si>
    <t>EMP229</t>
  </si>
  <si>
    <t>Mohan Babu</t>
  </si>
  <si>
    <t>EMP230</t>
  </si>
  <si>
    <t>Naveen T</t>
  </si>
  <si>
    <t>EMP231</t>
  </si>
  <si>
    <t>Ganesh R</t>
  </si>
  <si>
    <t>EMP232</t>
  </si>
  <si>
    <t>Dinesh M</t>
  </si>
  <si>
    <t>Relationship Manager</t>
  </si>
  <si>
    <t>EMP233</t>
  </si>
  <si>
    <t>Praveen Murugan</t>
  </si>
  <si>
    <t>Procurement Executive</t>
  </si>
  <si>
    <t>EMP234</t>
  </si>
  <si>
    <t>Lokesh Selvam</t>
  </si>
  <si>
    <t>EMP235</t>
  </si>
  <si>
    <t>Vinoth Babu</t>
  </si>
  <si>
    <t>EMP236</t>
  </si>
  <si>
    <t>Mohan T</t>
  </si>
  <si>
    <t>EMP237</t>
  </si>
  <si>
    <t>Karthik N</t>
  </si>
  <si>
    <t>EMP238</t>
  </si>
  <si>
    <t>Nithin Raja</t>
  </si>
  <si>
    <t>EMP239</t>
  </si>
  <si>
    <t>Mohan Prasad</t>
  </si>
  <si>
    <t>EMP240</t>
  </si>
  <si>
    <t>Naveen K</t>
  </si>
  <si>
    <t>EMP241</t>
  </si>
  <si>
    <t>Ajay M</t>
  </si>
  <si>
    <t>EMP242</t>
  </si>
  <si>
    <t>Suresh Kannan</t>
  </si>
  <si>
    <t>EMP243</t>
  </si>
  <si>
    <t>Naveen Raja</t>
  </si>
  <si>
    <t>EMP244</t>
  </si>
  <si>
    <t>Praveen T</t>
  </si>
  <si>
    <t>EMP245</t>
  </si>
  <si>
    <t>Ajay P</t>
  </si>
  <si>
    <t>EMP246</t>
  </si>
  <si>
    <t>Bharath Raja</t>
  </si>
  <si>
    <t>EMP247</t>
  </si>
  <si>
    <t>Nithin Selvam</t>
  </si>
  <si>
    <t>EMP248</t>
  </si>
  <si>
    <t>Ramesh Raj</t>
  </si>
  <si>
    <t>EMP249</t>
  </si>
  <si>
    <t>Yogesh Selvam</t>
  </si>
  <si>
    <t>EMP250</t>
  </si>
  <si>
    <t>Bharath T</t>
  </si>
  <si>
    <t>EMP251</t>
  </si>
  <si>
    <t>Harish Raj</t>
  </si>
  <si>
    <t>EMP252</t>
  </si>
  <si>
    <t>Yuvaraj Selvam</t>
  </si>
  <si>
    <t>EMP253</t>
  </si>
  <si>
    <t>Vinoth Raj</t>
  </si>
  <si>
    <t>EMP254</t>
  </si>
  <si>
    <t>Nithin Prasad</t>
  </si>
  <si>
    <t>EMP255</t>
  </si>
  <si>
    <t>Manoj Kannan</t>
  </si>
  <si>
    <t>EMP256</t>
  </si>
  <si>
    <t>Vijay Prasad</t>
  </si>
  <si>
    <t>EMP257</t>
  </si>
  <si>
    <t>Aravind Prasad</t>
  </si>
  <si>
    <t>EMP258</t>
  </si>
  <si>
    <t>Madhan Kannan</t>
  </si>
  <si>
    <t>EMP259</t>
  </si>
  <si>
    <t>Yuvaraj R</t>
  </si>
  <si>
    <t>EMP260</t>
  </si>
  <si>
    <t>Lokesh Babu</t>
  </si>
  <si>
    <t>EMP261</t>
  </si>
  <si>
    <t>Mohan Raja</t>
  </si>
  <si>
    <t>EMP262</t>
  </si>
  <si>
    <t>Ganesh G</t>
  </si>
  <si>
    <t>EMP263</t>
  </si>
  <si>
    <t>Bharath Prasad</t>
  </si>
  <si>
    <t>EMP264</t>
  </si>
  <si>
    <t>Deepak T</t>
  </si>
  <si>
    <t>EMP265</t>
  </si>
  <si>
    <t>Dinesh Babu</t>
  </si>
  <si>
    <t>EMP266</t>
  </si>
  <si>
    <t>Yogesh Murugan</t>
  </si>
  <si>
    <t>EMP267</t>
  </si>
  <si>
    <t>Ajay T</t>
  </si>
  <si>
    <t>EMP268</t>
  </si>
  <si>
    <t>Karthik Kannan</t>
  </si>
  <si>
    <t>EMP269</t>
  </si>
  <si>
    <t>Sanjay Narayanan</t>
  </si>
  <si>
    <t>EMP270</t>
  </si>
  <si>
    <t>Manoj V</t>
  </si>
  <si>
    <t>EMP271</t>
  </si>
  <si>
    <t>Ganesh Raja</t>
  </si>
  <si>
    <t>EMP272</t>
  </si>
  <si>
    <t>Bharath P</t>
  </si>
  <si>
    <t>EMP273</t>
  </si>
  <si>
    <t>Nithin Babu</t>
  </si>
  <si>
    <t>EMP274</t>
  </si>
  <si>
    <t>Saravanan Babu</t>
  </si>
  <si>
    <t>EMP275</t>
  </si>
  <si>
    <t>Ashwin Raja</t>
  </si>
  <si>
    <t>EMP276</t>
  </si>
  <si>
    <t>Madhan Murugan</t>
  </si>
  <si>
    <t>EMP277</t>
  </si>
  <si>
    <t>Sanjay R</t>
  </si>
  <si>
    <t>EMP278</t>
  </si>
  <si>
    <t>Praveen Krishnan</t>
  </si>
  <si>
    <t>EMP279</t>
  </si>
  <si>
    <t>Dinesh P</t>
  </si>
  <si>
    <t>EMP280</t>
  </si>
  <si>
    <t>Vinoth T</t>
  </si>
  <si>
    <t>EMP281</t>
  </si>
  <si>
    <t>Praveen Kumar</t>
  </si>
  <si>
    <t>EMP282</t>
  </si>
  <si>
    <t>Harish Selvam</t>
  </si>
  <si>
    <t>EMP283</t>
  </si>
  <si>
    <t>Aravind K</t>
  </si>
  <si>
    <t>EMP284</t>
  </si>
  <si>
    <t>Naveen Babu</t>
  </si>
  <si>
    <t>EMP285</t>
  </si>
  <si>
    <t>Kishore Kannan</t>
  </si>
  <si>
    <t>EMP286</t>
  </si>
  <si>
    <t>Rahul N</t>
  </si>
  <si>
    <t>EMP287</t>
  </si>
  <si>
    <t>Arun Kumar</t>
  </si>
  <si>
    <t>EMP288</t>
  </si>
  <si>
    <t>Ajay Kumar</t>
  </si>
  <si>
    <t>EMP289</t>
  </si>
  <si>
    <t>Arun K</t>
  </si>
  <si>
    <t>EMP290</t>
  </si>
  <si>
    <t>Prakash Prasad</t>
  </si>
  <si>
    <t>EMP291</t>
  </si>
  <si>
    <t>Bharath N</t>
  </si>
  <si>
    <t>EMP292</t>
  </si>
  <si>
    <t>Suresh Murugan</t>
  </si>
  <si>
    <t>EMP293</t>
  </si>
  <si>
    <t>Rahul K</t>
  </si>
  <si>
    <t>EMP294</t>
  </si>
  <si>
    <t>Nithin N</t>
  </si>
  <si>
    <t>EMP295</t>
  </si>
  <si>
    <t>Praveen M</t>
  </si>
  <si>
    <t>EMP296</t>
  </si>
  <si>
    <t>Sanjay B</t>
  </si>
  <si>
    <t>EMP297</t>
  </si>
  <si>
    <t>Vinoth Kannan</t>
  </si>
  <si>
    <t>EMP298</t>
  </si>
  <si>
    <t>Harish Narayanan</t>
  </si>
  <si>
    <t>EMP299</t>
  </si>
  <si>
    <t>Ashwin B</t>
  </si>
  <si>
    <t>EMP300</t>
  </si>
  <si>
    <t>Ganesh Narayanan</t>
  </si>
  <si>
    <t>EMPLOYEE MASTER DATA</t>
  </si>
  <si>
    <t>Basic Salary</t>
  </si>
  <si>
    <t>Employee Number</t>
  </si>
  <si>
    <t>Name</t>
  </si>
  <si>
    <t>In Time</t>
  </si>
  <si>
    <t>Out Time</t>
  </si>
  <si>
    <t>Work Hours</t>
  </si>
  <si>
    <t>Status</t>
  </si>
  <si>
    <t>Late</t>
  </si>
  <si>
    <t>Remarks</t>
  </si>
  <si>
    <t>DAY ATTENDANCE - 01/02/2026</t>
  </si>
  <si>
    <t>Present</t>
  </si>
  <si>
    <t>Absent</t>
  </si>
  <si>
    <t>Leave</t>
  </si>
  <si>
    <t>Week Off</t>
  </si>
  <si>
    <t>Attendance Percentage</t>
  </si>
  <si>
    <t>MONTHLY ATTENDANCE SUMMARY</t>
  </si>
  <si>
    <t>Employee No.</t>
  </si>
  <si>
    <t>Per Day Salary</t>
  </si>
  <si>
    <t>Present Days</t>
  </si>
  <si>
    <t>Gross Salary</t>
  </si>
  <si>
    <t>PF</t>
  </si>
  <si>
    <t>NetSalary</t>
  </si>
  <si>
    <t>Professional Tax</t>
  </si>
  <si>
    <t>ESI</t>
  </si>
  <si>
    <t>Salary Details</t>
  </si>
  <si>
    <t>Attendance</t>
  </si>
  <si>
    <t>Approved Leaves</t>
  </si>
  <si>
    <t>Full Pay</t>
  </si>
  <si>
    <t xml:space="preserve">Half Pay </t>
  </si>
  <si>
    <t>Deductions</t>
  </si>
  <si>
    <t>PAYROLL</t>
  </si>
  <si>
    <t>NOVATECH SOLUTIONS PVT. LTD.</t>
  </si>
  <si>
    <t>SALARY SLIP - FEBRUARY 2026</t>
  </si>
  <si>
    <t>EARNINGS</t>
  </si>
  <si>
    <t xml:space="preserve">Employee ID </t>
  </si>
  <si>
    <t xml:space="preserve">Employee Name </t>
  </si>
  <si>
    <t xml:space="preserve">Department </t>
  </si>
  <si>
    <t xml:space="preserve">Designation </t>
  </si>
  <si>
    <t>Net Salary</t>
  </si>
  <si>
    <t>ATTENDANCE</t>
  </si>
  <si>
    <t>Approved Leave</t>
  </si>
  <si>
    <t>DEDUCTIONS</t>
  </si>
  <si>
    <t>This is a computer-generated salary slip.</t>
  </si>
  <si>
    <t>HR MIS DASHBOARD - FEBRUARY 2026</t>
  </si>
  <si>
    <t>TOTAL EMPLOYEES</t>
  </si>
  <si>
    <t>PRESENT PERCENTAGE</t>
  </si>
  <si>
    <t>LEAVE PERCENTAGE</t>
  </si>
  <si>
    <t>GROSS PAYROLL</t>
  </si>
  <si>
    <t>NET PAYROLL</t>
  </si>
  <si>
    <t>PF TOTAL</t>
  </si>
  <si>
    <t>AVG. GROSS SALARY</t>
  </si>
  <si>
    <t>Row Labels</t>
  </si>
  <si>
    <t>Grand Total</t>
  </si>
  <si>
    <t>Count of Emp No</t>
  </si>
  <si>
    <t>Employee Details</t>
  </si>
  <si>
    <t>Sum of Gross Salary</t>
  </si>
  <si>
    <t>Percentage</t>
  </si>
  <si>
    <t>DEPARTMENT - WISE EMPLOYEES</t>
  </si>
  <si>
    <t>DEPARTMENT - WISE GROSS SALARY</t>
  </si>
  <si>
    <t>TOP 10 HIGHEST PAID EMPLOYEES</t>
  </si>
  <si>
    <t>ATTENDANCE DISTRIBUTION</t>
  </si>
  <si>
    <t>HR MIS DASHBOARD PROJECT</t>
  </si>
  <si>
    <t>Project Objective</t>
  </si>
  <si>
    <t>This project was developed to monitor and analyze HR data using Microsoft Excel. It provides insights into employee attendance, payroll, salary, and departmental statistics through an interactive dashboard.</t>
  </si>
  <si>
    <t>Key Features</t>
  </si>
  <si>
    <t>Total Employees KPI</t>
  </si>
  <si>
    <t>Present Percentage</t>
  </si>
  <si>
    <t>Absent Percentage</t>
  </si>
  <si>
    <t>Leave Percentage</t>
  </si>
  <si>
    <t>Gross Payroll</t>
  </si>
  <si>
    <t>Net Payroll</t>
  </si>
  <si>
    <t>Average Gross Salary</t>
  </si>
  <si>
    <t>PF Total</t>
  </si>
  <si>
    <t>Department-wise Employee Count</t>
  </si>
  <si>
    <t>Department-wise Gross Payroll</t>
  </si>
  <si>
    <t>Attendance Distribution (Donut Chart)</t>
  </si>
  <si>
    <t>Top 10 Highest Paid Employees</t>
  </si>
  <si>
    <t>Excel Functions Used</t>
  </si>
  <si>
    <t>IF</t>
  </si>
  <si>
    <t>IFS</t>
  </si>
  <si>
    <t>SUM</t>
  </si>
  <si>
    <t>SUMIF</t>
  </si>
  <si>
    <t>SUMIFS</t>
  </si>
  <si>
    <t>COUNTIF</t>
  </si>
  <si>
    <t>COUNTIFS</t>
  </si>
  <si>
    <t>AVERAGE</t>
  </si>
  <si>
    <t>ROUND</t>
  </si>
  <si>
    <t>XLOOKUP</t>
  </si>
  <si>
    <t>IFERROR</t>
  </si>
  <si>
    <t>TIME</t>
  </si>
  <si>
    <t>TEXT</t>
  </si>
  <si>
    <t>Excel Features Used</t>
  </si>
  <si>
    <t>Pivot Tables</t>
  </si>
  <si>
    <t>Pivot Charts</t>
  </si>
  <si>
    <t>Dashboard Design</t>
  </si>
  <si>
    <t>Conditional Formatting</t>
  </si>
  <si>
    <t>Data Validation</t>
  </si>
  <si>
    <t>Cell Formatting</t>
  </si>
  <si>
    <t>Tables</t>
  </si>
  <si>
    <t>Sorting &amp; Filtering</t>
  </si>
  <si>
    <t>Charts</t>
  </si>
  <si>
    <t>Project Workflow</t>
  </si>
  <si>
    <t>Employee Master Data</t>
  </si>
  <si>
    <t>Day Attendance</t>
  </si>
  <si>
    <t>Monthly Attendance Summary</t>
  </si>
  <si>
    <t>Payroll Calculation</t>
  </si>
  <si>
    <t>Salary Slip</t>
  </si>
  <si>
    <t>HR MIS Dashboard</t>
  </si>
  <si>
    <t xml:space="preserve"> ↓</t>
  </si>
  <si>
    <t>↓</t>
  </si>
  <si>
    <t>Dashboard KPIs</t>
  </si>
  <si>
    <t>Total Employees</t>
  </si>
  <si>
    <t>Dashboard Charts</t>
  </si>
  <si>
    <t>Attendance Distribution</t>
  </si>
  <si>
    <t>Skills Demonstrated</t>
  </si>
  <si>
    <t>Advanced Excel</t>
  </si>
  <si>
    <t>HR MIS Reporting</t>
  </si>
  <si>
    <t>Attendance Management</t>
  </si>
  <si>
    <t>Data Analysis</t>
  </si>
  <si>
    <t>Dashboard Development</t>
  </si>
  <si>
    <t>Pivot Table Analysis</t>
  </si>
  <si>
    <t>Data Visualization</t>
  </si>
  <si>
    <t>Project Developed By</t>
  </si>
  <si>
    <t>YUWARAJA G</t>
  </si>
  <si>
    <t>ABSENT PERCETNAGE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</si>
</sst>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[$-14009]hh:mm;@"/>
    <numFmt numFmtId="165" formatCode="[$-14009]h:mm:ss;@"/>
    <numFmt numFmtId="166" formatCode="[h]:mm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4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4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8FE599"/>
        <bgColor indexed="64"/>
      </patternFill>
    </fill>
    <fill>
      <patternFill patternType="solid">
        <fgColor rgb="FF33993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FF0000"/>
      </left>
      <right style="thin">
        <color indexed="64"/>
      </right>
      <top style="double">
        <color rgb="FFFF0000"/>
      </top>
      <bottom/>
      <diagonal/>
    </border>
    <border>
      <left style="thin">
        <color indexed="64"/>
      </left>
      <right style="thin">
        <color indexed="64"/>
      </right>
      <top style="double">
        <color rgb="FFFF0000"/>
      </top>
      <bottom/>
      <diagonal/>
    </border>
    <border>
      <left style="thin">
        <color indexed="64"/>
      </left>
      <right style="double">
        <color rgb="FFFF0000"/>
      </right>
      <top style="double">
        <color rgb="FFFF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18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44" fontId="0" fillId="0" borderId="0" xfId="0" applyNumberFormat="1"/>
    <xf numFmtId="0" fontId="3" fillId="0" borderId="0" xfId="0" applyFont="1"/>
    <xf numFmtId="0" fontId="0" fillId="0" borderId="5" xfId="0" applyBorder="1"/>
    <xf numFmtId="0" fontId="0" fillId="0" borderId="8" xfId="0" applyBorder="1"/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6" xfId="0" applyBorder="1"/>
    <xf numFmtId="18" fontId="0" fillId="0" borderId="5" xfId="0" applyNumberFormat="1" applyBorder="1"/>
    <xf numFmtId="18" fontId="0" fillId="0" borderId="7" xfId="0" applyNumberFormat="1" applyBorder="1"/>
    <xf numFmtId="18" fontId="0" fillId="0" borderId="8" xfId="0" applyNumberFormat="1" applyBorder="1"/>
    <xf numFmtId="164" fontId="0" fillId="0" borderId="8" xfId="0" applyNumberFormat="1" applyBorder="1"/>
    <xf numFmtId="165" fontId="0" fillId="0" borderId="8" xfId="0" applyNumberFormat="1" applyBorder="1"/>
    <xf numFmtId="0" fontId="0" fillId="0" borderId="9" xfId="0" applyBorder="1"/>
    <xf numFmtId="0" fontId="1" fillId="6" borderId="13" xfId="0" applyFont="1" applyFill="1" applyBorder="1"/>
    <xf numFmtId="0" fontId="0" fillId="0" borderId="13" xfId="0" applyBorder="1"/>
    <xf numFmtId="166" fontId="0" fillId="0" borderId="13" xfId="0" applyNumberFormat="1" applyBorder="1"/>
    <xf numFmtId="10" fontId="0" fillId="0" borderId="13" xfId="0" applyNumberFormat="1" applyBorder="1"/>
    <xf numFmtId="0" fontId="1" fillId="0" borderId="0" xfId="0" applyFont="1"/>
    <xf numFmtId="44" fontId="0" fillId="0" borderId="1" xfId="0" applyNumberFormat="1" applyBorder="1"/>
    <xf numFmtId="44" fontId="0" fillId="0" borderId="6" xfId="0" applyNumberFormat="1" applyBorder="1"/>
    <xf numFmtId="0" fontId="0" fillId="0" borderId="7" xfId="0" applyBorder="1"/>
    <xf numFmtId="44" fontId="0" fillId="0" borderId="8" xfId="0" applyNumberFormat="1" applyBorder="1"/>
    <xf numFmtId="44" fontId="0" fillId="0" borderId="9" xfId="0" applyNumberFormat="1" applyBorder="1"/>
    <xf numFmtId="0" fontId="8" fillId="8" borderId="19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1" fillId="11" borderId="1" xfId="0" applyFont="1" applyFill="1" applyBorder="1"/>
    <xf numFmtId="0" fontId="0" fillId="0" borderId="28" xfId="0" applyBorder="1" applyAlignment="1">
      <alignment horizontal="right" vertical="center"/>
    </xf>
    <xf numFmtId="0" fontId="0" fillId="0" borderId="28" xfId="0" applyFill="1" applyBorder="1" applyAlignment="1">
      <alignment horizontal="righ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NumberFormat="1" applyBorder="1"/>
    <xf numFmtId="10" fontId="0" fillId="0" borderId="1" xfId="0" applyNumberFormat="1" applyBorder="1"/>
    <xf numFmtId="44" fontId="1" fillId="3" borderId="1" xfId="0" applyNumberFormat="1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0" fillId="0" borderId="28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29" xfId="0" applyNumberFormat="1" applyBorder="1" applyAlignment="1">
      <alignment horizontal="center"/>
    </xf>
    <xf numFmtId="0" fontId="0" fillId="0" borderId="28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2" fillId="0" borderId="3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44" fontId="1" fillId="11" borderId="1" xfId="0" applyNumberFormat="1" applyFont="1" applyFill="1" applyBorder="1" applyAlignment="1">
      <alignment horizontal="center"/>
    </xf>
    <xf numFmtId="44" fontId="1" fillId="11" borderId="29" xfId="0" applyNumberFormat="1" applyFont="1" applyFill="1" applyBorder="1" applyAlignment="1">
      <alignment horizontal="center"/>
    </xf>
    <xf numFmtId="0" fontId="1" fillId="11" borderId="28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1" fillId="10" borderId="25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/>
    </xf>
    <xf numFmtId="0" fontId="11" fillId="10" borderId="28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29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1" fillId="12" borderId="40" xfId="0" applyFont="1" applyFill="1" applyBorder="1" applyAlignment="1">
      <alignment horizontal="center" vertical="center"/>
    </xf>
    <xf numFmtId="0" fontId="11" fillId="12" borderId="41" xfId="0" applyFont="1" applyFill="1" applyBorder="1" applyAlignment="1">
      <alignment horizontal="center" vertical="center"/>
    </xf>
    <xf numFmtId="0" fontId="11" fillId="12" borderId="42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8" fillId="5" borderId="44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10" fontId="0" fillId="2" borderId="44" xfId="0" applyNumberFormat="1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10" fontId="0" fillId="2" borderId="45" xfId="0" applyNumberFormat="1" applyFill="1" applyBorder="1" applyAlignment="1">
      <alignment horizontal="center" vertical="center"/>
    </xf>
    <xf numFmtId="44" fontId="0" fillId="13" borderId="43" xfId="0" applyNumberFormat="1" applyFill="1" applyBorder="1" applyAlignment="1">
      <alignment horizontal="center"/>
    </xf>
    <xf numFmtId="44" fontId="0" fillId="13" borderId="44" xfId="0" applyNumberFormat="1" applyFill="1" applyBorder="1" applyAlignment="1">
      <alignment horizontal="center"/>
    </xf>
    <xf numFmtId="44" fontId="0" fillId="13" borderId="46" xfId="0" applyNumberFormat="1" applyFill="1" applyBorder="1" applyAlignment="1">
      <alignment horizontal="center"/>
    </xf>
    <xf numFmtId="44" fontId="0" fillId="13" borderId="47" xfId="0" applyNumberFormat="1" applyFill="1" applyBorder="1" applyAlignment="1">
      <alignment horizontal="center"/>
    </xf>
    <xf numFmtId="44" fontId="0" fillId="13" borderId="45" xfId="0" applyNumberFormat="1" applyFill="1" applyBorder="1" applyAlignment="1">
      <alignment horizontal="center"/>
    </xf>
    <xf numFmtId="44" fontId="0" fillId="13" borderId="48" xfId="0" applyNumberFormat="1" applyFill="1" applyBorder="1" applyAlignment="1">
      <alignment horizontal="center"/>
    </xf>
    <xf numFmtId="0" fontId="0" fillId="13" borderId="43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/>
    </xf>
    <xf numFmtId="0" fontId="0" fillId="13" borderId="45" xfId="0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3" fillId="11" borderId="49" xfId="0" applyFont="1" applyFill="1" applyBorder="1" applyAlignment="1">
      <alignment horizontal="center" vertical="center"/>
    </xf>
    <xf numFmtId="0" fontId="13" fillId="11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28" xfId="0" applyBorder="1" applyAlignment="1">
      <alignment vertical="center"/>
    </xf>
    <xf numFmtId="0" fontId="15" fillId="14" borderId="29" xfId="0" applyFont="1" applyFill="1" applyBorder="1" applyAlignment="1">
      <alignment horizontal="center" vertical="center"/>
    </xf>
    <xf numFmtId="0" fontId="15" fillId="14" borderId="49" xfId="0" applyFont="1" applyFill="1" applyBorder="1" applyAlignment="1">
      <alignment horizontal="center" vertical="center"/>
    </xf>
    <xf numFmtId="0" fontId="15" fillId="14" borderId="28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44" fontId="0" fillId="0" borderId="16" xfId="0" applyNumberFormat="1" applyBorder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29"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EB5B5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numFmt numFmtId="14" formatCode="0.00%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4" formatCode="_ &quot;₹&quot;\ * #,##0.00_ ;_ &quot;₹&quot;\ * \-#,##0.00_ ;_ &quot;₹&quot;\ * &quot;-&quot;??_ ;_ @_ 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339933"/>
      <color rgb="FF8FE599"/>
      <color rgb="FFEB5B5B"/>
      <color rgb="FFF2F9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[HR_MIS_DASHBOARD.xlsx]PIVOTS!PivotTable2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DEPARTMENT - WIDE GROSS SALARY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PIVOTS!$D$3:$D$15</c:f>
              <c:strCache>
                <c:ptCount val="12"/>
                <c:pt idx="0">
                  <c:v>Accounts</c:v>
                </c:pt>
                <c:pt idx="1">
                  <c:v>Admin</c:v>
                </c:pt>
                <c:pt idx="2">
                  <c:v>Back End</c:v>
                </c:pt>
                <c:pt idx="3">
                  <c:v>Business Development</c:v>
                </c:pt>
                <c:pt idx="4">
                  <c:v>Customer Relationship</c:v>
                </c:pt>
                <c:pt idx="5">
                  <c:v>Front Office</c:v>
                </c:pt>
                <c:pt idx="6">
                  <c:v>HR</c:v>
                </c:pt>
                <c:pt idx="7">
                  <c:v>IT</c:v>
                </c:pt>
                <c:pt idx="8">
                  <c:v>Maintenance</c:v>
                </c:pt>
                <c:pt idx="9">
                  <c:v>Procurement</c:v>
                </c:pt>
                <c:pt idx="10">
                  <c:v>Production</c:v>
                </c:pt>
                <c:pt idx="11">
                  <c:v>Sales</c:v>
                </c:pt>
              </c:strCache>
            </c:strRef>
          </c:cat>
          <c:val>
            <c:numRef>
              <c:f>PIVOTS!$E$3:$E$15</c:f>
              <c:numCache>
                <c:formatCode>_("₹"* #,##0.00_);_("₹"* \(#,##0.00\);_("₹"* "-"??_);_(@_)</c:formatCode>
                <c:ptCount val="12"/>
                <c:pt idx="0">
                  <c:v>1318895.8333333335</c:v>
                </c:pt>
                <c:pt idx="1">
                  <c:v>685739.58333333326</c:v>
                </c:pt>
                <c:pt idx="2">
                  <c:v>667739.58333333337</c:v>
                </c:pt>
                <c:pt idx="3">
                  <c:v>1013499.9999999999</c:v>
                </c:pt>
                <c:pt idx="4">
                  <c:v>575104.16666666663</c:v>
                </c:pt>
                <c:pt idx="5">
                  <c:v>546937.5</c:v>
                </c:pt>
                <c:pt idx="6">
                  <c:v>571093.75000000012</c:v>
                </c:pt>
                <c:pt idx="7">
                  <c:v>903697.91666666674</c:v>
                </c:pt>
                <c:pt idx="8">
                  <c:v>1546385.4166666667</c:v>
                </c:pt>
                <c:pt idx="9">
                  <c:v>742958.33333333326</c:v>
                </c:pt>
                <c:pt idx="10">
                  <c:v>1377614.5833333335</c:v>
                </c:pt>
                <c:pt idx="11">
                  <c:v>1067885.4166666665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55-4C95-A65D-8C8A45118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577055"/>
        <c:axId val="1334578015"/>
      </c:barChart>
      <c:catAx>
        <c:axId val="13345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78015"/>
        <c:crosses val="autoZero"/>
        <c:auto val="1"/>
        <c:lblAlgn val="ctr"/>
        <c:lblOffset val="100"/>
        <c:noMultiLvlLbl val="0"/>
      </c:catAx>
      <c:valAx>
        <c:axId val="133457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77055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[HR_MIS_DASHBOARD.xlsx]PIVOTS!PivotTable1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DEPARTMENT</a:t>
            </a:r>
            <a:r>
              <a:rPr lang="en-US" b="1" baseline="0"/>
              <a:t> - WISE EMPLOYEES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PIVOTS!$A$3:$A$15</c:f>
              <c:strCache>
                <c:ptCount val="12"/>
                <c:pt idx="0">
                  <c:v>Accounts</c:v>
                </c:pt>
                <c:pt idx="1">
                  <c:v>Admin</c:v>
                </c:pt>
                <c:pt idx="2">
                  <c:v>Back End</c:v>
                </c:pt>
                <c:pt idx="3">
                  <c:v>Business Development</c:v>
                </c:pt>
                <c:pt idx="4">
                  <c:v>Customer Relationship</c:v>
                </c:pt>
                <c:pt idx="5">
                  <c:v>Front Office</c:v>
                </c:pt>
                <c:pt idx="6">
                  <c:v>HR</c:v>
                </c:pt>
                <c:pt idx="7">
                  <c:v>IT</c:v>
                </c:pt>
                <c:pt idx="8">
                  <c:v>Maintenance</c:v>
                </c:pt>
                <c:pt idx="9">
                  <c:v>Procurement</c:v>
                </c:pt>
                <c:pt idx="10">
                  <c:v>Production</c:v>
                </c:pt>
                <c:pt idx="11">
                  <c:v>Sales</c:v>
                </c:pt>
              </c:strCache>
            </c:strRef>
          </c:cat>
          <c:val>
            <c:numRef>
              <c:f>PIVOTS!$B$3:$B$15</c:f>
              <c:numCache>
                <c:formatCode>General</c:formatCode>
                <c:ptCount val="12"/>
                <c:pt idx="0">
                  <c:v>32</c:v>
                </c:pt>
                <c:pt idx="1">
                  <c:v>26</c:v>
                </c:pt>
                <c:pt idx="2">
                  <c:v>22</c:v>
                </c:pt>
                <c:pt idx="3">
                  <c:v>25</c:v>
                </c:pt>
                <c:pt idx="4">
                  <c:v>21</c:v>
                </c:pt>
                <c:pt idx="5">
                  <c:v>22</c:v>
                </c:pt>
                <c:pt idx="6">
                  <c:v>16</c:v>
                </c:pt>
                <c:pt idx="7">
                  <c:v>19</c:v>
                </c:pt>
                <c:pt idx="8">
                  <c:v>36</c:v>
                </c:pt>
                <c:pt idx="9">
                  <c:v>19</c:v>
                </c:pt>
                <c:pt idx="10">
                  <c:v>33</c:v>
                </c:pt>
                <c:pt idx="1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4-4F65-87A2-752370561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3377615"/>
        <c:axId val="723374735"/>
      </c:barChart>
      <c:catAx>
        <c:axId val="723377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74735"/>
        <c:crosses val="autoZero"/>
        <c:auto val="1"/>
        <c:lblAlgn val="ctr"/>
        <c:lblOffset val="100"/>
        <c:noMultiLvlLbl val="0"/>
      </c:catAx>
      <c:valAx>
        <c:axId val="72337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7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[HR_MIS_DASHBOARD.xlsx]PIVOTS!PivotTable3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HIGHEST PAID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395641025641027"/>
          <c:y val="0.24920888996850743"/>
          <c:w val="0.57463333333333333"/>
          <c:h val="0.667530898233800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PIVOTS!$A$19:$A$28</c:f>
              <c:strCache>
                <c:ptCount val="10"/>
                <c:pt idx="0">
                  <c:v>Vijay Babu</c:v>
                </c:pt>
                <c:pt idx="1">
                  <c:v>Ajay V</c:v>
                </c:pt>
                <c:pt idx="2">
                  <c:v>Arun T</c:v>
                </c:pt>
                <c:pt idx="3">
                  <c:v>Vignesh V</c:v>
                </c:pt>
                <c:pt idx="4">
                  <c:v>Aravind S</c:v>
                </c:pt>
                <c:pt idx="5">
                  <c:v>Sanjay Babu</c:v>
                </c:pt>
                <c:pt idx="6">
                  <c:v>Yogesh M</c:v>
                </c:pt>
                <c:pt idx="7">
                  <c:v>Bharath Kannan</c:v>
                </c:pt>
                <c:pt idx="8">
                  <c:v>Suresh Raj</c:v>
                </c:pt>
                <c:pt idx="9">
                  <c:v>Mohan K</c:v>
                </c:pt>
              </c:strCache>
            </c:strRef>
          </c:cat>
          <c:val>
            <c:numRef>
              <c:f>PIVOTS!$B$19:$B$28</c:f>
              <c:numCache>
                <c:formatCode>_("₹"* #,##0.00_);_("₹"* \(#,##0.00\);_("₹"* "-"??_);_(@_)</c:formatCode>
                <c:ptCount val="10"/>
                <c:pt idx="0">
                  <c:v>72656.25</c:v>
                </c:pt>
                <c:pt idx="1">
                  <c:v>72875</c:v>
                </c:pt>
                <c:pt idx="2">
                  <c:v>72947.916666666657</c:v>
                </c:pt>
                <c:pt idx="3">
                  <c:v>75708.333333333328</c:v>
                </c:pt>
                <c:pt idx="4">
                  <c:v>77083.333333333328</c:v>
                </c:pt>
                <c:pt idx="5">
                  <c:v>79218.75</c:v>
                </c:pt>
                <c:pt idx="6">
                  <c:v>83854.166666666672</c:v>
                </c:pt>
                <c:pt idx="7">
                  <c:v>83906.25</c:v>
                </c:pt>
                <c:pt idx="8">
                  <c:v>88125</c:v>
                </c:pt>
                <c:pt idx="9">
                  <c:v>88166.666666666672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9-460C-A4CC-A089E492FD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7998767"/>
        <c:axId val="1358001167"/>
      </c:barChart>
      <c:catAx>
        <c:axId val="13579987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01167"/>
        <c:crosses val="autoZero"/>
        <c:auto val="1"/>
        <c:lblAlgn val="ctr"/>
        <c:lblOffset val="100"/>
        <c:noMultiLvlLbl val="0"/>
      </c:catAx>
      <c:valAx>
        <c:axId val="1358001167"/>
        <c:scaling>
          <c:orientation val="minMax"/>
        </c:scaling>
        <c:delete val="1"/>
        <c:axPos val="b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135799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ATTENDANCE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PIVOTS!$E$18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1D-4E42-BA5B-37380D613B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D-4E42-BA5B-37380D613B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1D-4E42-BA5B-37380D613B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1D-4E42-BA5B-37380D613B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PIVOTS!$D$19:$D$22</c:f>
              <c:strCache>
                <c:ptCount val="4"/>
                <c:pt idx="0">
                  <c:v>Present</c:v>
                </c:pt>
                <c:pt idx="1">
                  <c:v>Absent</c:v>
                </c:pt>
                <c:pt idx="2">
                  <c:v>Leave</c:v>
                </c:pt>
                <c:pt idx="3">
                  <c:v>Week Off</c:v>
                </c:pt>
              </c:strCache>
            </c:strRef>
          </c:cat>
          <c:val>
            <c:numRef>
              <c:f>PIVOTS!$E$19:$E$22</c:f>
              <c:numCache>
                <c:formatCode>0.00%</c:formatCode>
                <c:ptCount val="4"/>
                <c:pt idx="0">
                  <c:v>0.83152777777777664</c:v>
                </c:pt>
                <c:pt idx="1">
                  <c:v>9.2274678111587988E-2</c:v>
                </c:pt>
                <c:pt idx="2">
                  <c:v>3.6712272442972482E-2</c:v>
                </c:pt>
                <c:pt idx="3">
                  <c:v>3.9485271667662913E-2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1D-4E42-BA5B-37380D613B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11</xdr:row>
      <xdr:rowOff>0</xdr:rowOff>
    </xdr:from>
    <xdr:to>
      <xdr:col>15</xdr:col>
      <xdr:colOff>412800</xdr:colOff>
      <xdr:row>26</xdr:row>
      <xdr:rowOff>104143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12D13-E8AC-40B4-BE8E-84D2999B7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7</xdr:col>
      <xdr:colOff>412800</xdr:colOff>
      <xdr:row>26</xdr:row>
      <xdr:rowOff>104143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32F6EF-984D-4D7E-9513-6A4C40742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412800</xdr:colOff>
      <xdr:row>44</xdr:row>
      <xdr:rowOff>104143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4BD2BA-1C73-4C35-9969-2CBF22ABE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15</xdr:col>
      <xdr:colOff>412800</xdr:colOff>
      <xdr:row>44</xdr:row>
      <xdr:rowOff>104143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2D5F18-F4BC-4620-8756-B718D8849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4.016063888892" createdVersion="8" refreshedVersion="8" minRefreshableVersion="3" recordCount="300" xr:uid="{07B869EA-0ADB-4024-AAD6-BF66A75A4FFE}">
  <cacheSource type="worksheet">
    <worksheetSource ref="A3:F303" sheet="EMPLOYEE MASTER DATA"/>
  </cacheSource>
  <cacheFields count="6">
    <cacheField name="Emp No" numFmtId="0">
      <sharedItems/>
    </cacheField>
    <cacheField name="Employee Name" numFmtId="0">
      <sharedItems/>
    </cacheField>
    <cacheField name="Location" numFmtId="0">
      <sharedItems/>
    </cacheField>
    <cacheField name="Department" numFmtId="0">
      <sharedItems count="12">
        <s v="Production"/>
        <s v="Business Development"/>
        <s v="Front Office"/>
        <s v="Admin"/>
        <s v="Accounts"/>
        <s v="Sales"/>
        <s v="Procurement"/>
        <s v="IT"/>
        <s v="Maintenance"/>
        <s v="HR"/>
        <s v="Customer Relationship"/>
        <s v="Back End"/>
      </sharedItems>
    </cacheField>
    <cacheField name="Designation" numFmtId="0">
      <sharedItems/>
    </cacheField>
    <cacheField name="Basic Salary" numFmtId="44">
      <sharedItems containsSemiMixedTypes="0" containsString="0" containsNumber="1" containsInteger="1" minValue="19500" maxValue="9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4.020096759261" createdVersion="8" refreshedVersion="8" minRefreshableVersion="3" recordCount="300" xr:uid="{556F34FC-A114-47B8-BEDA-B5A2439A9F00}">
  <cacheSource type="worksheet">
    <worksheetSource ref="A3:O303" sheet="PAYROLL"/>
  </cacheSource>
  <cacheFields count="15">
    <cacheField name="Employee No." numFmtId="0">
      <sharedItems count="30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  <s v="EMP040"/>
        <s v="EMP041"/>
        <s v="EMP042"/>
        <s v="EMP043"/>
        <s v="EMP044"/>
        <s v="EMP045"/>
        <s v="EMP046"/>
        <s v="EMP047"/>
        <s v="EMP048"/>
        <s v="EMP049"/>
        <s v="EMP050"/>
        <s v="EMP051"/>
        <s v="EMP052"/>
        <s v="EMP053"/>
        <s v="EMP054"/>
        <s v="EMP055"/>
        <s v="EMP056"/>
        <s v="EMP057"/>
        <s v="EMP058"/>
        <s v="EMP059"/>
        <s v="EMP060"/>
        <s v="EMP061"/>
        <s v="EMP062"/>
        <s v="EMP063"/>
        <s v="EMP064"/>
        <s v="EMP065"/>
        <s v="EMP066"/>
        <s v="EMP067"/>
        <s v="EMP068"/>
        <s v="EMP069"/>
        <s v="EMP070"/>
        <s v="EMP071"/>
        <s v="EMP072"/>
        <s v="EMP073"/>
        <s v="EMP074"/>
        <s v="EMP075"/>
        <s v="EMP076"/>
        <s v="EMP077"/>
        <s v="EMP078"/>
        <s v="EMP079"/>
        <s v="EMP080"/>
        <s v="EMP081"/>
        <s v="EMP082"/>
        <s v="EMP083"/>
        <s v="EMP084"/>
        <s v="EMP085"/>
        <s v="EMP086"/>
        <s v="EMP087"/>
        <s v="EMP088"/>
        <s v="EMP089"/>
        <s v="EMP090"/>
        <s v="EMP091"/>
        <s v="EMP092"/>
        <s v="EMP093"/>
        <s v="EMP094"/>
        <s v="EMP095"/>
        <s v="EMP096"/>
        <s v="EMP097"/>
        <s v="EMP098"/>
        <s v="EMP099"/>
        <s v="EMP100"/>
        <s v="EMP101"/>
        <s v="EMP102"/>
        <s v="EMP103"/>
        <s v="EMP104"/>
        <s v="EMP105"/>
        <s v="EMP106"/>
        <s v="EMP107"/>
        <s v="EMP108"/>
        <s v="EMP109"/>
        <s v="EMP110"/>
        <s v="EMP111"/>
        <s v="EMP112"/>
        <s v="EMP113"/>
        <s v="EMP114"/>
        <s v="EMP115"/>
        <s v="EMP116"/>
        <s v="EMP117"/>
        <s v="EMP118"/>
        <s v="EMP119"/>
        <s v="EMP120"/>
        <s v="EMP121"/>
        <s v="EMP122"/>
        <s v="EMP123"/>
        <s v="EMP124"/>
        <s v="EMP125"/>
        <s v="EMP126"/>
        <s v="EMP127"/>
        <s v="EMP128"/>
        <s v="EMP129"/>
        <s v="EMP130"/>
        <s v="EMP131"/>
        <s v="EMP132"/>
        <s v="EMP133"/>
        <s v="EMP134"/>
        <s v="EMP135"/>
        <s v="EMP136"/>
        <s v="EMP137"/>
        <s v="EMP138"/>
        <s v="EMP139"/>
        <s v="EMP140"/>
        <s v="EMP141"/>
        <s v="EMP142"/>
        <s v="EMP143"/>
        <s v="EMP144"/>
        <s v="EMP145"/>
        <s v="EMP146"/>
        <s v="EMP147"/>
        <s v="EMP148"/>
        <s v="EMP149"/>
        <s v="EMP150"/>
        <s v="EMP151"/>
        <s v="EMP152"/>
        <s v="EMP153"/>
        <s v="EMP154"/>
        <s v="EMP155"/>
        <s v="EMP156"/>
        <s v="EMP157"/>
        <s v="EMP158"/>
        <s v="EMP159"/>
        <s v="EMP160"/>
        <s v="EMP161"/>
        <s v="EMP162"/>
        <s v="EMP163"/>
        <s v="EMP164"/>
        <s v="EMP165"/>
        <s v="EMP166"/>
        <s v="EMP167"/>
        <s v="EMP168"/>
        <s v="EMP169"/>
        <s v="EMP170"/>
        <s v="EMP171"/>
        <s v="EMP172"/>
        <s v="EMP173"/>
        <s v="EMP174"/>
        <s v="EMP175"/>
        <s v="EMP176"/>
        <s v="EMP177"/>
        <s v="EMP178"/>
        <s v="EMP179"/>
        <s v="EMP180"/>
        <s v="EMP181"/>
        <s v="EMP182"/>
        <s v="EMP183"/>
        <s v="EMP184"/>
        <s v="EMP185"/>
        <s v="EMP186"/>
        <s v="EMP187"/>
        <s v="EMP188"/>
        <s v="EMP189"/>
        <s v="EMP190"/>
        <s v="EMP191"/>
        <s v="EMP192"/>
        <s v="EMP193"/>
        <s v="EMP194"/>
        <s v="EMP195"/>
        <s v="EMP196"/>
        <s v="EMP197"/>
        <s v="EMP198"/>
        <s v="EMP199"/>
        <s v="EMP200"/>
        <s v="EMP201"/>
        <s v="EMP202"/>
        <s v="EMP203"/>
        <s v="EMP204"/>
        <s v="EMP205"/>
        <s v="EMP206"/>
        <s v="EMP207"/>
        <s v="EMP208"/>
        <s v="EMP209"/>
        <s v="EMP210"/>
        <s v="EMP211"/>
        <s v="EMP212"/>
        <s v="EMP213"/>
        <s v="EMP214"/>
        <s v="EMP215"/>
        <s v="EMP216"/>
        <s v="EMP217"/>
        <s v="EMP218"/>
        <s v="EMP219"/>
        <s v="EMP220"/>
        <s v="EMP221"/>
        <s v="EMP222"/>
        <s v="EMP223"/>
        <s v="EMP224"/>
        <s v="EMP225"/>
        <s v="EMP226"/>
        <s v="EMP227"/>
        <s v="EMP228"/>
        <s v="EMP229"/>
        <s v="EMP230"/>
        <s v="EMP231"/>
        <s v="EMP232"/>
        <s v="EMP233"/>
        <s v="EMP234"/>
        <s v="EMP235"/>
        <s v="EMP236"/>
        <s v="EMP237"/>
        <s v="EMP238"/>
        <s v="EMP239"/>
        <s v="EMP240"/>
        <s v="EMP241"/>
        <s v="EMP242"/>
        <s v="EMP243"/>
        <s v="EMP244"/>
        <s v="EMP245"/>
        <s v="EMP246"/>
        <s v="EMP247"/>
        <s v="EMP248"/>
        <s v="EMP249"/>
        <s v="EMP250"/>
        <s v="EMP251"/>
        <s v="EMP252"/>
        <s v="EMP253"/>
        <s v="EMP254"/>
        <s v="EMP255"/>
        <s v="EMP256"/>
        <s v="EMP257"/>
        <s v="EMP258"/>
        <s v="EMP259"/>
        <s v="EMP260"/>
        <s v="EMP261"/>
        <s v="EMP262"/>
        <s v="EMP263"/>
        <s v="EMP264"/>
        <s v="EMP265"/>
        <s v="EMP266"/>
        <s v="EMP267"/>
        <s v="EMP268"/>
        <s v="EMP269"/>
        <s v="EMP270"/>
        <s v="EMP271"/>
        <s v="EMP272"/>
        <s v="EMP273"/>
        <s v="EMP274"/>
        <s v="EMP275"/>
        <s v="EMP276"/>
        <s v="EMP277"/>
        <s v="EMP278"/>
        <s v="EMP279"/>
        <s v="EMP280"/>
        <s v="EMP281"/>
        <s v="EMP282"/>
        <s v="EMP283"/>
        <s v="EMP284"/>
        <s v="EMP285"/>
        <s v="EMP286"/>
        <s v="EMP287"/>
        <s v="EMP288"/>
        <s v="EMP289"/>
        <s v="EMP290"/>
        <s v="EMP291"/>
        <s v="EMP292"/>
        <s v="EMP293"/>
        <s v="EMP294"/>
        <s v="EMP295"/>
        <s v="EMP296"/>
        <s v="EMP297"/>
        <s v="EMP298"/>
        <s v="EMP299"/>
        <s v="EMP300"/>
      </sharedItems>
    </cacheField>
    <cacheField name="Name" numFmtId="0">
      <sharedItems count="300">
        <s v="Vijay V"/>
        <s v="Sathish V"/>
        <s v="Aravind B"/>
        <s v="Ramesh Kumar"/>
        <s v="Naveen Kumar"/>
        <s v="Karthik T"/>
        <s v="Arun B"/>
        <s v="Sathish G"/>
        <s v="Yuvaraj Babu"/>
        <s v="Sanjay G"/>
        <s v="Vijay T"/>
        <s v="Mohan M"/>
        <s v="Madhan Selvam"/>
        <s v="Vignesh P"/>
        <s v="Yogesh Babu"/>
        <s v="Lokesh R"/>
        <s v="Vignesh Kannan"/>
        <s v="Naveen Prasad"/>
        <s v="Arun N"/>
        <s v="Karthik Narayanan"/>
        <s v="Arun Raj"/>
        <s v="Madhan Raj"/>
        <s v="Praveen Selvam"/>
        <s v="Harish Raja"/>
        <s v="Harish V"/>
        <s v="Arun Murugan"/>
        <s v="Prakash N"/>
        <s v="Vinoth V"/>
        <s v="Harish N"/>
        <s v="Yuvaraj Murugan"/>
        <s v="Aravind M"/>
        <s v="Nithin S"/>
        <s v="Karthik R"/>
        <s v="Praveen S"/>
        <s v="Manoj Kumar"/>
        <s v="Madhan Narayanan"/>
        <s v="Kishore Murugan"/>
        <s v="Kishore M"/>
        <s v="Bharath S"/>
        <s v="Ashwin G"/>
        <s v="Ajay Raj"/>
        <s v="Prakash S"/>
        <s v="Deepak Selvam"/>
        <s v="Karthik Krishnan"/>
        <s v="Ajay Raja"/>
        <s v="Aravind Selvam"/>
        <s v="Yuvaraj Raja"/>
        <s v="Aravind Krishnan"/>
        <s v="Vijay Murugan"/>
        <s v="Manoj P"/>
        <s v="Vijay Babu"/>
        <s v="Karthik Raja"/>
        <s v="Naveen G"/>
        <s v="Yuvaraj Krishnan"/>
        <s v="Lokesh V"/>
        <s v="Yuvaraj P"/>
        <s v="Ramesh B"/>
        <s v="Arun T"/>
        <s v="Ashwin Selvam"/>
        <s v="Yogesh R"/>
        <s v="Kishore P"/>
        <s v="Manoj Raj"/>
        <s v="Rahul Kumar"/>
        <s v="Ajay V"/>
        <s v="Rahul P"/>
        <s v="Saravanan K"/>
        <s v="Vignesh Raja"/>
        <s v="Vignesh V"/>
        <s v="Yogesh M"/>
        <s v="Rahul Krishnan"/>
        <s v="Yuvaraj Kumar"/>
        <s v="Sanjay S"/>
        <s v="Sanjay Kumar"/>
        <s v="Vinoth Raja"/>
        <s v="Madhan B"/>
        <s v="Prakash T"/>
        <s v="Mohan Narayanan"/>
        <s v="Harish Babu"/>
        <s v="Nithin P"/>
        <s v="Aravind N"/>
        <s v="Aravind S"/>
        <s v="Bharath K"/>
        <s v="Arun R"/>
        <s v="Arun Raja"/>
        <s v="Manoj Krishnan"/>
        <s v="Naveen B"/>
        <s v="Suresh Kumar"/>
        <s v="Ashwin R"/>
        <s v="Vinoth G"/>
        <s v="Ajay K"/>
        <s v="Karthik K"/>
        <s v="Karthik Babu"/>
        <s v="Suresh Raj"/>
        <s v="Saravanan Kumar"/>
        <s v="Lokesh Kumar"/>
        <s v="Vijay K"/>
        <s v="Sanjay Kannan"/>
        <s v="Yogesh Kannan"/>
        <s v="Yuvaraj N"/>
        <s v="Deepak K"/>
        <s v="Rahul Babu"/>
        <s v="Deepak N"/>
        <s v="Kishore G"/>
        <s v="Deepak P"/>
        <s v="Nithin V"/>
        <s v="Nithin Raj"/>
        <s v="Dinesh Narayanan"/>
        <s v="Sanjay Raj"/>
        <s v="Aravind Narayanan"/>
        <s v="Vijay P"/>
        <s v="Rahul T"/>
        <s v="Prakash Selvam"/>
        <s v="Sanjay N"/>
        <s v="Naveen Selvam"/>
        <s v="Vijay Raj"/>
        <s v="Suresh Raja"/>
        <s v="Kishore S"/>
        <s v="Prakash Raj"/>
        <s v="Saravanan Prasad"/>
        <s v="Vignesh Prasad"/>
        <s v="Ganesh Prasad"/>
        <s v="Praveen Raja"/>
        <s v="Kishore R"/>
        <s v="Vinoth B"/>
        <s v="Karthik Prasad"/>
        <s v="Saravanan B"/>
        <s v="Dinesh Krishnan"/>
        <s v="Arun Krishnan"/>
        <s v="Dinesh Selvam"/>
        <s v="Sanjay Babu"/>
        <s v="Yuvaraj B"/>
        <s v="Ganesh Raj"/>
        <s v="Madhan Prasad"/>
        <s v="Bharath Raj"/>
        <s v="Manoj N"/>
        <s v="Ashwin Raj"/>
        <s v="Vignesh Kumar"/>
        <s v="Aravind G"/>
        <s v="Lokesh N"/>
        <s v="Sathish S"/>
        <s v="Saravanan Raja"/>
        <s v="Karthik Raj"/>
        <s v="Mohan G"/>
        <s v="Ramesh N"/>
        <s v="Naveen N"/>
        <s v="Dinesh Kannan"/>
        <s v="Vinoth Krishnan"/>
        <s v="Bharath Kannan"/>
        <s v="Vinoth Narayanan"/>
        <s v="Mohan V"/>
        <s v="Rahul R"/>
        <s v="Harish R"/>
        <s v="Ganesh M"/>
        <s v="Yuvaraj Raj"/>
        <s v="Vinoth Selvam"/>
        <s v="Naveen M"/>
        <s v="Yogesh S"/>
        <s v="Karthik P"/>
        <s v="Yuvaraj T"/>
        <s v="Rahul B"/>
        <s v="Deepak G"/>
        <s v="Ramesh G"/>
        <s v="Praveen Kannan"/>
        <s v="Yogesh T"/>
        <s v="Sanjay Selvam"/>
        <s v="Dinesh B"/>
        <s v="Kishore Krishnan"/>
        <s v="Saravanan Murugan"/>
        <s v="Naveen S"/>
        <s v="Praveen Babu"/>
        <s v="Nithin K"/>
        <s v="Praveen G"/>
        <s v="Ajay Murugan"/>
        <s v="Manoj Raja"/>
        <s v="Ashwin Narayanan"/>
        <s v="Nithin Krishnan"/>
        <s v="Deepak Narayanan"/>
        <s v="Karthik Murugan"/>
        <s v="Naveen Kannan"/>
        <s v="Ramesh Kannan"/>
        <s v="Manoj Narayanan"/>
        <s v="Sathish Prasad"/>
        <s v="Madhan N"/>
        <s v="Ramesh R"/>
        <s v="Nithin R"/>
        <s v="Arun Narayanan"/>
        <s v="Lokesh Raj"/>
        <s v="Dinesh N"/>
        <s v="Saravanan M"/>
        <s v="Prakash Krishnan"/>
        <s v="Saravanan S"/>
        <s v="Ajay B"/>
        <s v="Suresh P"/>
        <s v="Bharath Krishnan"/>
        <s v="Vinoth R"/>
        <s v="Lokesh Raja"/>
        <s v="Mohan K"/>
        <s v="Ajay Narayanan"/>
        <s v="Ashwin Kumar"/>
        <s v="Vijay B"/>
        <s v="Bharath Narayanan"/>
        <s v="Mohan B"/>
        <s v="Dinesh G"/>
        <s v="Yogesh Narayanan"/>
        <s v="Manoj M"/>
        <s v="Naveen V"/>
        <s v="Lokesh M"/>
        <s v="Ganesh Krishnan"/>
        <s v="Deepak B"/>
        <s v="Madhan K"/>
        <s v="Suresh Selvam"/>
        <s v="Harish P"/>
        <s v="Saravanan Narayanan"/>
        <s v="Mohan Kannan"/>
        <s v="Karthik V"/>
        <s v="Arun Babu"/>
        <s v="Praveen Raj"/>
        <s v="Rahul V"/>
        <s v="Arun S"/>
        <s v="Vignesh G"/>
        <s v="Lokesh K"/>
        <s v="Vinoth Murugan"/>
        <s v="Prakash R"/>
        <s v="Bharath Murugan"/>
        <s v="Ramesh Prasad"/>
        <s v="Sathish R"/>
        <s v="Mohan N"/>
        <s v="Naveen Murugan"/>
        <s v="Mohan Babu"/>
        <s v="Naveen T"/>
        <s v="Ganesh R"/>
        <s v="Dinesh M"/>
        <s v="Praveen Murugan"/>
        <s v="Lokesh Selvam"/>
        <s v="Vinoth Babu"/>
        <s v="Mohan T"/>
        <s v="Karthik N"/>
        <s v="Nithin Raja"/>
        <s v="Mohan Prasad"/>
        <s v="Naveen K"/>
        <s v="Ajay M"/>
        <s v="Suresh Kannan"/>
        <s v="Naveen Raja"/>
        <s v="Praveen T"/>
        <s v="Ajay P"/>
        <s v="Bharath Raja"/>
        <s v="Nithin Selvam"/>
        <s v="Ramesh Raj"/>
        <s v="Yogesh Selvam"/>
        <s v="Bharath T"/>
        <s v="Harish Raj"/>
        <s v="Yuvaraj Selvam"/>
        <s v="Vinoth Raj"/>
        <s v="Nithin Prasad"/>
        <s v="Manoj Kannan"/>
        <s v="Vijay Prasad"/>
        <s v="Aravind Prasad"/>
        <s v="Madhan Kannan"/>
        <s v="Yuvaraj R"/>
        <s v="Lokesh Babu"/>
        <s v="Mohan Raja"/>
        <s v="Ganesh G"/>
        <s v="Bharath Prasad"/>
        <s v="Deepak T"/>
        <s v="Dinesh Babu"/>
        <s v="Yogesh Murugan"/>
        <s v="Ajay T"/>
        <s v="Karthik Kannan"/>
        <s v="Sanjay Narayanan"/>
        <s v="Manoj V"/>
        <s v="Ganesh Raja"/>
        <s v="Bharath P"/>
        <s v="Nithin Babu"/>
        <s v="Saravanan Babu"/>
        <s v="Ashwin Raja"/>
        <s v="Madhan Murugan"/>
        <s v="Sanjay R"/>
        <s v="Praveen Krishnan"/>
        <s v="Dinesh P"/>
        <s v="Vinoth T"/>
        <s v="Praveen Kumar"/>
        <s v="Harish Selvam"/>
        <s v="Aravind K"/>
        <s v="Naveen Babu"/>
        <s v="Kishore Kannan"/>
        <s v="Rahul N"/>
        <s v="Arun Kumar"/>
        <s v="Ajay Kumar"/>
        <s v="Arun K"/>
        <s v="Prakash Prasad"/>
        <s v="Bharath N"/>
        <s v="Suresh Murugan"/>
        <s v="Rahul K"/>
        <s v="Nithin N"/>
        <s v="Praveen M"/>
        <s v="Sanjay B"/>
        <s v="Vinoth Kannan"/>
        <s v="Harish Narayanan"/>
        <s v="Ashwin B"/>
        <s v="Ganesh Narayanan"/>
      </sharedItems>
    </cacheField>
    <cacheField name="Department" numFmtId="0">
      <sharedItems count="12">
        <s v="Production"/>
        <s v="Business Development"/>
        <s v="Front Office"/>
        <s v="Admin"/>
        <s v="Accounts"/>
        <s v="Sales"/>
        <s v="Procurement"/>
        <s v="IT"/>
        <s v="Maintenance"/>
        <s v="HR"/>
        <s v="Customer Relationship"/>
        <s v="Back End"/>
      </sharedItems>
    </cacheField>
    <cacheField name="Designation" numFmtId="0">
      <sharedItems/>
    </cacheField>
    <cacheField name="Basic Salary" numFmtId="44">
      <sharedItems containsSemiMixedTypes="0" containsString="0" containsNumber="1" containsInteger="1" minValue="19500" maxValue="92500"/>
    </cacheField>
    <cacheField name="Per Day Salary" numFmtId="44">
      <sharedItems containsSemiMixedTypes="0" containsString="0" containsNumber="1" minValue="812.5" maxValue="3854.1666666666665"/>
    </cacheField>
    <cacheField name="Present Days" numFmtId="0">
      <sharedItems containsSemiMixedTypes="0" containsString="0" containsNumber="1" containsInteger="1" minValue="10" maxValue="22"/>
    </cacheField>
    <cacheField name="Approved Leaves" numFmtId="0">
      <sharedItems containsSemiMixedTypes="0" containsString="0" containsNumber="1" containsInteger="1" minValue="1" maxValue="2"/>
    </cacheField>
    <cacheField name="Full Pay" numFmtId="0">
      <sharedItems containsSemiMixedTypes="0" containsString="0" containsNumber="1" containsInteger="1" minValue="1" maxValue="1"/>
    </cacheField>
    <cacheField name="Half Pay " numFmtId="0">
      <sharedItems containsSemiMixedTypes="0" containsString="0" containsNumber="1" containsInteger="1" minValue="0" maxValue="1"/>
    </cacheField>
    <cacheField name="Gross Salary" numFmtId="44">
      <sharedItems containsSemiMixedTypes="0" containsString="0" containsNumber="1" minValue="14875" maxValue="88166.666666666672"/>
    </cacheField>
    <cacheField name="PF" numFmtId="44">
      <sharedItems containsSemiMixedTypes="0" containsString="0" containsNumber="1" containsInteger="1" minValue="2340" maxValue="11100"/>
    </cacheField>
    <cacheField name="Professional Tax" numFmtId="44">
      <sharedItems containsSemiMixedTypes="0" containsString="0" containsNumber="1" containsInteger="1" minValue="0" maxValue="200"/>
    </cacheField>
    <cacheField name="ESI" numFmtId="44">
      <sharedItems containsSemiMixedTypes="0" containsString="0" containsNumber="1" minValue="0" maxValue="157.5"/>
    </cacheField>
    <cacheField name="NetSalary" numFmtId="44">
      <sharedItems containsSemiMixedTypes="0" containsString="0" containsNumber="1" minValue="11703.4375" maxValue="77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EMP001"/>
    <s v="Vijay V"/>
    <s v="Hyderabad"/>
    <x v="0"/>
    <s v="Production Executive"/>
    <n v="29000"/>
  </r>
  <r>
    <s v="EMP002"/>
    <s v="Sathish V"/>
    <s v="Hyderabad"/>
    <x v="0"/>
    <s v="Shift Incharge"/>
    <n v="46500"/>
  </r>
  <r>
    <s v="EMP003"/>
    <s v="Aravind B"/>
    <s v="Chennai"/>
    <x v="1"/>
    <s v="Senior Business Development Executive"/>
    <n v="44500"/>
  </r>
  <r>
    <s v="EMP004"/>
    <s v="Ramesh Kumar"/>
    <s v="Bengaluru"/>
    <x v="2"/>
    <s v="Receptionist"/>
    <n v="20500"/>
  </r>
  <r>
    <s v="EMP005"/>
    <s v="Naveen Kumar"/>
    <s v="Coimbatore"/>
    <x v="2"/>
    <s v="Front Office Executive"/>
    <n v="29000"/>
  </r>
  <r>
    <s v="EMP006"/>
    <s v="Karthik T"/>
    <s v="Bengaluru"/>
    <x v="3"/>
    <s v="Admin Manager"/>
    <n v="53500"/>
  </r>
  <r>
    <s v="EMP007"/>
    <s v="Arun B"/>
    <s v="Kochi"/>
    <x v="3"/>
    <s v="Office Coordinator"/>
    <n v="25500"/>
  </r>
  <r>
    <s v="EMP008"/>
    <s v="Sathish G"/>
    <s v="Kochi"/>
    <x v="4"/>
    <s v="Accountant"/>
    <n v="27500"/>
  </r>
  <r>
    <s v="EMP009"/>
    <s v="Yuvaraj Babu"/>
    <s v="Noida"/>
    <x v="5"/>
    <s v="Senior Sales Executive"/>
    <n v="43500"/>
  </r>
  <r>
    <s v="EMP010"/>
    <s v="Sanjay G"/>
    <s v="Delhi"/>
    <x v="6"/>
    <s v="Buyer"/>
    <n v="45000"/>
  </r>
  <r>
    <s v="EMP011"/>
    <s v="Vijay T"/>
    <s v="Chennai"/>
    <x v="4"/>
    <s v="Finance Executive"/>
    <n v="36000"/>
  </r>
  <r>
    <s v="EMP012"/>
    <s v="Mohan M"/>
    <s v="Chennai"/>
    <x v="3"/>
    <s v="Office Administrator"/>
    <n v="28000"/>
  </r>
  <r>
    <s v="EMP013"/>
    <s v="Madhan Selvam"/>
    <s v="Mumbai"/>
    <x v="4"/>
    <s v="Senior Accountant"/>
    <n v="40500"/>
  </r>
  <r>
    <s v="EMP014"/>
    <s v="Vignesh P"/>
    <s v="Kochi"/>
    <x v="7"/>
    <s v="Network Engineer"/>
    <n v="37000"/>
  </r>
  <r>
    <s v="EMP015"/>
    <s v="Yogesh Babu"/>
    <s v="Bengaluru"/>
    <x v="3"/>
    <s v="Office Administrator"/>
    <n v="32000"/>
  </r>
  <r>
    <s v="EMP016"/>
    <s v="Lokesh R"/>
    <s v="Delhi"/>
    <x v="6"/>
    <s v="Sourcing Executive"/>
    <n v="38000"/>
  </r>
  <r>
    <s v="EMP017"/>
    <s v="Vignesh Kannan"/>
    <s v="Kochi"/>
    <x v="1"/>
    <s v="Corporate Sales Executive"/>
    <n v="43000"/>
  </r>
  <r>
    <s v="EMP018"/>
    <s v="Naveen Prasad"/>
    <s v="Pune"/>
    <x v="3"/>
    <s v="Admin Executive"/>
    <n v="27500"/>
  </r>
  <r>
    <s v="EMP019"/>
    <s v="Arun N"/>
    <s v="Chennai"/>
    <x v="8"/>
    <s v="Mechanical Technician"/>
    <n v="30500"/>
  </r>
  <r>
    <s v="EMP020"/>
    <s v="Karthik Narayanan"/>
    <s v="Ahmedabad"/>
    <x v="9"/>
    <s v="Recruiter"/>
    <n v="26500"/>
  </r>
  <r>
    <s v="EMP021"/>
    <s v="Arun Raj"/>
    <s v="Bengaluru"/>
    <x v="1"/>
    <s v="Growth Executive"/>
    <n v="39000"/>
  </r>
  <r>
    <s v="EMP022"/>
    <s v="Madhan Raj"/>
    <s v="Mumbai"/>
    <x v="1"/>
    <s v="Growth Executive"/>
    <n v="41500"/>
  </r>
  <r>
    <s v="EMP023"/>
    <s v="Praveen Selvam"/>
    <s v="Bengaluru"/>
    <x v="2"/>
    <s v="Guest Relations Executive"/>
    <n v="30000"/>
  </r>
  <r>
    <s v="EMP024"/>
    <s v="Harish Raja"/>
    <s v="Ahmedabad"/>
    <x v="1"/>
    <s v="Growth Executive"/>
    <n v="35500"/>
  </r>
  <r>
    <s v="EMP025"/>
    <s v="Harish V"/>
    <s v="Noida"/>
    <x v="0"/>
    <s v="Production Supervisor"/>
    <n v="35500"/>
  </r>
  <r>
    <s v="EMP026"/>
    <s v="Arun Murugan"/>
    <s v="Chennai"/>
    <x v="6"/>
    <s v="Purchase Executive"/>
    <n v="34000"/>
  </r>
  <r>
    <s v="EMP027"/>
    <s v="Prakash N"/>
    <s v="Ahmedabad"/>
    <x v="8"/>
    <s v="Electrical Technician"/>
    <n v="29000"/>
  </r>
  <r>
    <s v="EMP028"/>
    <s v="Vinoth V"/>
    <s v="Coimbatore"/>
    <x v="5"/>
    <s v="Key Account Executive"/>
    <n v="41500"/>
  </r>
  <r>
    <s v="EMP029"/>
    <s v="Harish N"/>
    <s v="Pune"/>
    <x v="4"/>
    <s v="Accountant"/>
    <n v="33500"/>
  </r>
  <r>
    <s v="EMP030"/>
    <s v="Yuvaraj Murugan"/>
    <s v="Coimbatore"/>
    <x v="5"/>
    <s v="Senior Sales Executive"/>
    <n v="39000"/>
  </r>
  <r>
    <s v="EMP031"/>
    <s v="Aravind M"/>
    <s v="Coimbatore"/>
    <x v="10"/>
    <s v="Customer Service Executive"/>
    <n v="28000"/>
  </r>
  <r>
    <s v="EMP032"/>
    <s v="Nithin S"/>
    <s v="Pune"/>
    <x v="3"/>
    <s v="Office Administrator"/>
    <n v="31000"/>
  </r>
  <r>
    <s v="EMP033"/>
    <s v="Karthik R"/>
    <s v="Delhi"/>
    <x v="11"/>
    <s v="Data Entry Executive"/>
    <n v="23500"/>
  </r>
  <r>
    <s v="EMP034"/>
    <s v="Praveen S"/>
    <s v="Pune"/>
    <x v="7"/>
    <s v="System Administrator"/>
    <n v="36000"/>
  </r>
  <r>
    <s v="EMP035"/>
    <s v="Manoj Kumar"/>
    <s v="Delhi"/>
    <x v="3"/>
    <s v="Admin Manager"/>
    <n v="57000"/>
  </r>
  <r>
    <s v="EMP036"/>
    <s v="Madhan Narayanan"/>
    <s v="Bengaluru"/>
    <x v="1"/>
    <s v="Corporate Sales Executive"/>
    <n v="49500"/>
  </r>
  <r>
    <s v="EMP037"/>
    <s v="Kishore Murugan"/>
    <s v="Mumbai"/>
    <x v="6"/>
    <s v="Procurement Manager"/>
    <n v="76000"/>
  </r>
  <r>
    <s v="EMP038"/>
    <s v="Kishore M"/>
    <s v="Bengaluru"/>
    <x v="5"/>
    <s v="Key Account Executive"/>
    <n v="45500"/>
  </r>
  <r>
    <s v="EMP039"/>
    <s v="Bharath S"/>
    <s v="Kochi"/>
    <x v="10"/>
    <s v="CRM Executive"/>
    <n v="27000"/>
  </r>
  <r>
    <s v="EMP040"/>
    <s v="Ashwin G"/>
    <s v="Noida"/>
    <x v="5"/>
    <s v="Area Sales Executive"/>
    <n v="37000"/>
  </r>
  <r>
    <s v="EMP041"/>
    <s v="Ajay Raj"/>
    <s v="Pune"/>
    <x v="2"/>
    <s v="Guest Relations Executive"/>
    <n v="25500"/>
  </r>
  <r>
    <s v="EMP042"/>
    <s v="Prakash S"/>
    <s v="Coimbatore"/>
    <x v="4"/>
    <s v="Accounts Manager"/>
    <n v="72000"/>
  </r>
  <r>
    <s v="EMP043"/>
    <s v="Deepak Selvam"/>
    <s v="Bengaluru"/>
    <x v="0"/>
    <s v="Quality Inspector"/>
    <n v="34000"/>
  </r>
  <r>
    <s v="EMP044"/>
    <s v="Karthik Krishnan"/>
    <s v="Coimbatore"/>
    <x v="7"/>
    <s v="Network Engineer"/>
    <n v="47500"/>
  </r>
  <r>
    <s v="EMP045"/>
    <s v="Ajay Raja"/>
    <s v="Chennai"/>
    <x v="9"/>
    <s v="Recruiter"/>
    <n v="27500"/>
  </r>
  <r>
    <s v="EMP046"/>
    <s v="Aravind Selvam"/>
    <s v="Hyderabad"/>
    <x v="0"/>
    <s v="Production Manager"/>
    <n v="64000"/>
  </r>
  <r>
    <s v="EMP047"/>
    <s v="Yuvaraj Raja"/>
    <s v="Delhi"/>
    <x v="6"/>
    <s v="Buyer"/>
    <n v="37500"/>
  </r>
  <r>
    <s v="EMP048"/>
    <s v="Aravind Krishnan"/>
    <s v="Hyderabad"/>
    <x v="10"/>
    <s v="Customer Relationship Officer"/>
    <n v="26500"/>
  </r>
  <r>
    <s v="EMP049"/>
    <s v="Vijay Murugan"/>
    <s v="Pune"/>
    <x v="2"/>
    <s v="Front Desk Coordinator"/>
    <n v="30000"/>
  </r>
  <r>
    <s v="EMP050"/>
    <s v="Manoj P"/>
    <s v="Chennai"/>
    <x v="4"/>
    <s v="Senior Accountant"/>
    <n v="46000"/>
  </r>
  <r>
    <s v="EMP051"/>
    <s v="Vijay Babu"/>
    <s v="Kochi"/>
    <x v="8"/>
    <s v="Maintenance Manager"/>
    <n v="77500"/>
  </r>
  <r>
    <s v="EMP052"/>
    <s v="Karthik Raja"/>
    <s v="Ahmedabad"/>
    <x v="9"/>
    <s v="Recruiter"/>
    <n v="24500"/>
  </r>
  <r>
    <s v="EMP053"/>
    <s v="Naveen G"/>
    <s v="Kochi"/>
    <x v="8"/>
    <s v="Maintenance Manager"/>
    <n v="69500"/>
  </r>
  <r>
    <s v="EMP054"/>
    <s v="Yuvaraj Krishnan"/>
    <s v="Kochi"/>
    <x v="7"/>
    <s v="System Administrator"/>
    <n v="41500"/>
  </r>
  <r>
    <s v="EMP055"/>
    <s v="Lokesh V"/>
    <s v="Mumbai"/>
    <x v="7"/>
    <s v="Software Developer"/>
    <n v="41000"/>
  </r>
  <r>
    <s v="EMP056"/>
    <s v="Yuvaraj P"/>
    <s v="Noida"/>
    <x v="11"/>
    <s v="Operations Executive"/>
    <n v="35500"/>
  </r>
  <r>
    <s v="EMP057"/>
    <s v="Ramesh B"/>
    <s v="Noida"/>
    <x v="0"/>
    <s v="Production Executive"/>
    <n v="22000"/>
  </r>
  <r>
    <s v="EMP058"/>
    <s v="Arun T"/>
    <s v="Chennai"/>
    <x v="8"/>
    <s v="Maintenance Manager"/>
    <n v="74500"/>
  </r>
  <r>
    <s v="EMP059"/>
    <s v="Ashwin Selvam"/>
    <s v="Mumbai"/>
    <x v="6"/>
    <s v="Buyer"/>
    <n v="43500"/>
  </r>
  <r>
    <s v="EMP060"/>
    <s v="Yogesh R"/>
    <s v="Kochi"/>
    <x v="5"/>
    <s v="Key Account Executive"/>
    <n v="35500"/>
  </r>
  <r>
    <s v="EMP061"/>
    <s v="Kishore P"/>
    <s v="Ahmedabad"/>
    <x v="8"/>
    <s v="Mechanical Technician"/>
    <n v="34000"/>
  </r>
  <r>
    <s v="EMP062"/>
    <s v="Manoj Raj"/>
    <s v="Mumbai"/>
    <x v="11"/>
    <s v="Documentation Executive"/>
    <n v="22000"/>
  </r>
  <r>
    <s v="EMP063"/>
    <s v="Rahul Kumar"/>
    <s v="Mumbai"/>
    <x v="8"/>
    <s v="Electrical Technician"/>
    <n v="26000"/>
  </r>
  <r>
    <s v="EMP064"/>
    <s v="Ajay V"/>
    <s v="Coimbatore"/>
    <x v="8"/>
    <s v="Maintenance Manager"/>
    <n v="79500"/>
  </r>
  <r>
    <s v="EMP065"/>
    <s v="Rahul P"/>
    <s v="Kochi"/>
    <x v="8"/>
    <s v="Maintenance Manager"/>
    <n v="82000"/>
  </r>
  <r>
    <s v="EMP066"/>
    <s v="Saravanan K"/>
    <s v="Chennai"/>
    <x v="2"/>
    <s v="Receptionist"/>
    <n v="25000"/>
  </r>
  <r>
    <s v="EMP067"/>
    <s v="Vignesh Raja"/>
    <s v="Mumbai"/>
    <x v="4"/>
    <s v="Finance Executive"/>
    <n v="40000"/>
  </r>
  <r>
    <s v="EMP068"/>
    <s v="Vignesh V"/>
    <s v="Ahmedabad"/>
    <x v="9"/>
    <s v="HR Manager"/>
    <n v="79000"/>
  </r>
  <r>
    <s v="EMP069"/>
    <s v="Yogesh M"/>
    <s v="Bengaluru"/>
    <x v="4"/>
    <s v="Accounts Manager"/>
    <n v="87500"/>
  </r>
  <r>
    <s v="EMP070"/>
    <s v="Rahul Krishnan"/>
    <s v="Chennai"/>
    <x v="4"/>
    <s v="Accounts Manager"/>
    <n v="62000"/>
  </r>
  <r>
    <s v="EMP071"/>
    <s v="Yuvaraj Kumar"/>
    <s v="Delhi"/>
    <x v="0"/>
    <s v="Production Executive"/>
    <n v="27500"/>
  </r>
  <r>
    <s v="EMP072"/>
    <s v="Sanjay S"/>
    <s v="Bengaluru"/>
    <x v="4"/>
    <s v="Finance Executive"/>
    <n v="36000"/>
  </r>
  <r>
    <s v="EMP073"/>
    <s v="Sanjay Kumar"/>
    <s v="Bengaluru"/>
    <x v="1"/>
    <s v="Senior Business Development Executive"/>
    <n v="42500"/>
  </r>
  <r>
    <s v="EMP074"/>
    <s v="Vinoth Raja"/>
    <s v="Pune"/>
    <x v="3"/>
    <s v="Facility Executive"/>
    <n v="28000"/>
  </r>
  <r>
    <s v="EMP075"/>
    <s v="Madhan B"/>
    <s v="Hyderabad"/>
    <x v="8"/>
    <s v="Maintenance Engineer"/>
    <n v="46500"/>
  </r>
  <r>
    <s v="EMP076"/>
    <s v="Prakash T"/>
    <s v="Pune"/>
    <x v="4"/>
    <s v="Accountant"/>
    <n v="29500"/>
  </r>
  <r>
    <s v="EMP077"/>
    <s v="Mohan Narayanan"/>
    <s v="Bengaluru"/>
    <x v="8"/>
    <s v="Mechanical Technician"/>
    <n v="29500"/>
  </r>
  <r>
    <s v="EMP078"/>
    <s v="Harish Babu"/>
    <s v="Noida"/>
    <x v="1"/>
    <s v="Growth Executive"/>
    <n v="40500"/>
  </r>
  <r>
    <s v="EMP079"/>
    <s v="Nithin P"/>
    <s v="Ahmedabad"/>
    <x v="2"/>
    <s v="Guest Relations Executive"/>
    <n v="32500"/>
  </r>
  <r>
    <s v="EMP080"/>
    <s v="Aravind N"/>
    <s v="Mumbai"/>
    <x v="1"/>
    <s v="Business Development Manager"/>
    <n v="64500"/>
  </r>
  <r>
    <s v="EMP081"/>
    <s v="Aravind S"/>
    <s v="Noida"/>
    <x v="7"/>
    <s v="IT Manager"/>
    <n v="92500"/>
  </r>
  <r>
    <s v="EMP082"/>
    <s v="Bharath K"/>
    <s v="Chennai"/>
    <x v="10"/>
    <s v="Customer Success Executive"/>
    <n v="42000"/>
  </r>
  <r>
    <s v="EMP083"/>
    <s v="Arun R"/>
    <s v="Delhi"/>
    <x v="0"/>
    <s v="Production Manager"/>
    <n v="55500"/>
  </r>
  <r>
    <s v="EMP084"/>
    <s v="Arun Raja"/>
    <s v="Coimbatore"/>
    <x v="1"/>
    <s v="Senior Business Development Executive"/>
    <n v="49000"/>
  </r>
  <r>
    <s v="EMP085"/>
    <s v="Manoj Krishnan"/>
    <s v="Coimbatore"/>
    <x v="9"/>
    <s v="HR Manager"/>
    <n v="70500"/>
  </r>
  <r>
    <s v="EMP086"/>
    <s v="Naveen B"/>
    <s v="Noida"/>
    <x v="8"/>
    <s v="Electrical Technician"/>
    <n v="33000"/>
  </r>
  <r>
    <s v="EMP087"/>
    <s v="Suresh Kumar"/>
    <s v="Pune"/>
    <x v="8"/>
    <s v="Maintenance Manager"/>
    <n v="65500"/>
  </r>
  <r>
    <s v="EMP088"/>
    <s v="Ashwin R"/>
    <s v="Pune"/>
    <x v="5"/>
    <s v="Senior Sales Executive"/>
    <n v="43500"/>
  </r>
  <r>
    <s v="EMP089"/>
    <s v="Vinoth G"/>
    <s v="Bengaluru"/>
    <x v="8"/>
    <s v="Maintenance Manager"/>
    <n v="72500"/>
  </r>
  <r>
    <s v="EMP090"/>
    <s v="Ajay K"/>
    <s v="Kochi"/>
    <x v="5"/>
    <s v="Area Sales Executive"/>
    <n v="32500"/>
  </r>
  <r>
    <s v="EMP091"/>
    <s v="Karthik K"/>
    <s v="Kochi"/>
    <x v="0"/>
    <s v="Production Manager"/>
    <n v="57000"/>
  </r>
  <r>
    <s v="EMP092"/>
    <s v="Karthik Babu"/>
    <s v="Chennai"/>
    <x v="11"/>
    <s v="Data Entry Executive"/>
    <n v="21500"/>
  </r>
  <r>
    <s v="EMP093"/>
    <s v="Suresh Raj"/>
    <s v="Mumbai"/>
    <x v="4"/>
    <s v="Accounts Manager"/>
    <n v="90000"/>
  </r>
  <r>
    <s v="EMP094"/>
    <s v="Saravanan Kumar"/>
    <s v="Coimbatore"/>
    <x v="5"/>
    <s v="Sales Executive"/>
    <n v="27500"/>
  </r>
  <r>
    <s v="EMP095"/>
    <s v="Lokesh Kumar"/>
    <s v="Coimbatore"/>
    <x v="10"/>
    <s v="Customer Success Executive"/>
    <n v="35500"/>
  </r>
  <r>
    <s v="EMP096"/>
    <s v="Vijay K"/>
    <s v="Hyderabad"/>
    <x v="7"/>
    <s v="IT Support Engineer"/>
    <n v="32500"/>
  </r>
  <r>
    <s v="EMP097"/>
    <s v="Sanjay Kannan"/>
    <s v="Pune"/>
    <x v="3"/>
    <s v="Office Coordinator"/>
    <n v="24000"/>
  </r>
  <r>
    <s v="EMP098"/>
    <s v="Yogesh Kannan"/>
    <s v="Noida"/>
    <x v="10"/>
    <s v="Customer Success Executive"/>
    <n v="39000"/>
  </r>
  <r>
    <s v="EMP099"/>
    <s v="Yuvaraj N"/>
    <s v="Kochi"/>
    <x v="4"/>
    <s v="Accounts Manager"/>
    <n v="63500"/>
  </r>
  <r>
    <s v="EMP100"/>
    <s v="Deepak K"/>
    <s v="Bengaluru"/>
    <x v="1"/>
    <s v="Growth Executive"/>
    <n v="44500"/>
  </r>
  <r>
    <s v="EMP101"/>
    <s v="Rahul Babu"/>
    <s v="Noida"/>
    <x v="1"/>
    <s v="Growth Executive"/>
    <n v="30000"/>
  </r>
  <r>
    <s v="EMP102"/>
    <s v="Deepak N"/>
    <s v="Noida"/>
    <x v="10"/>
    <s v="Customer Success Executive"/>
    <n v="30000"/>
  </r>
  <r>
    <s v="EMP103"/>
    <s v="Kishore G"/>
    <s v="Noida"/>
    <x v="6"/>
    <s v="Procurement Manager"/>
    <n v="71500"/>
  </r>
  <r>
    <s v="EMP104"/>
    <s v="Deepak P"/>
    <s v="Delhi"/>
    <x v="5"/>
    <s v="Sales Manager"/>
    <n v="53500"/>
  </r>
  <r>
    <s v="EMP105"/>
    <s v="Nithin V"/>
    <s v="Mumbai"/>
    <x v="4"/>
    <s v="Senior Accountant"/>
    <n v="53500"/>
  </r>
  <r>
    <s v="EMP106"/>
    <s v="Nithin Raj"/>
    <s v="Hyderabad"/>
    <x v="7"/>
    <s v="Network Engineer"/>
    <n v="36500"/>
  </r>
  <r>
    <s v="EMP107"/>
    <s v="Dinesh Narayanan"/>
    <s v="Ahmedabad"/>
    <x v="5"/>
    <s v="Sales Manager"/>
    <n v="59000"/>
  </r>
  <r>
    <s v="EMP108"/>
    <s v="Sanjay Raj"/>
    <s v="Coimbatore"/>
    <x v="3"/>
    <s v="Office Coordinator"/>
    <n v="28000"/>
  </r>
  <r>
    <s v="EMP109"/>
    <s v="Aravind Narayanan"/>
    <s v="Mumbai"/>
    <x v="0"/>
    <s v="Production Manager"/>
    <n v="76500"/>
  </r>
  <r>
    <s v="EMP110"/>
    <s v="Vijay P"/>
    <s v="Pune"/>
    <x v="0"/>
    <s v="Production Manager"/>
    <n v="61500"/>
  </r>
  <r>
    <s v="EMP111"/>
    <s v="Rahul T"/>
    <s v="Ahmedabad"/>
    <x v="0"/>
    <s v="Production Supervisor"/>
    <n v="43000"/>
  </r>
  <r>
    <s v="EMP112"/>
    <s v="Prakash Selvam"/>
    <s v="Hyderabad"/>
    <x v="3"/>
    <s v="Facility Executive"/>
    <n v="30500"/>
  </r>
  <r>
    <s v="EMP113"/>
    <s v="Sanjay N"/>
    <s v="Noida"/>
    <x v="8"/>
    <s v="Mechanical Technician"/>
    <n v="26000"/>
  </r>
  <r>
    <s v="EMP114"/>
    <s v="Naveen Selvam"/>
    <s v="Hyderabad"/>
    <x v="11"/>
    <s v="Operations Manager"/>
    <n v="60000"/>
  </r>
  <r>
    <s v="EMP115"/>
    <s v="Vijay Raj"/>
    <s v="Coimbatore"/>
    <x v="9"/>
    <s v="Recruiter"/>
    <n v="23500"/>
  </r>
  <r>
    <s v="EMP116"/>
    <s v="Suresh Raja"/>
    <s v="Ahmedabad"/>
    <x v="9"/>
    <s v="Senior HR Executive"/>
    <n v="35000"/>
  </r>
  <r>
    <s v="EMP117"/>
    <s v="Kishore S"/>
    <s v="Ahmedabad"/>
    <x v="1"/>
    <s v="Senior Business Development Executive"/>
    <n v="38000"/>
  </r>
  <r>
    <s v="EMP118"/>
    <s v="Prakash Raj"/>
    <s v="Delhi"/>
    <x v="4"/>
    <s v="Senior Accountant"/>
    <n v="55000"/>
  </r>
  <r>
    <s v="EMP119"/>
    <s v="Saravanan Prasad"/>
    <s v="Kochi"/>
    <x v="10"/>
    <s v="Customer Relationship Officer"/>
    <n v="32500"/>
  </r>
  <r>
    <s v="EMP120"/>
    <s v="Vignesh Prasad"/>
    <s v="Ahmedabad"/>
    <x v="11"/>
    <s v="Documentation Executive"/>
    <n v="24000"/>
  </r>
  <r>
    <s v="EMP121"/>
    <s v="Ganesh Prasad"/>
    <s v="Kochi"/>
    <x v="7"/>
    <s v="Software Developer"/>
    <n v="63500"/>
  </r>
  <r>
    <s v="EMP122"/>
    <s v="Praveen Raja"/>
    <s v="Chennai"/>
    <x v="2"/>
    <s v="Front Office Executive"/>
    <n v="30000"/>
  </r>
  <r>
    <s v="EMP123"/>
    <s v="Kishore R"/>
    <s v="Ahmedabad"/>
    <x v="2"/>
    <s v="Front Office Manager"/>
    <n v="45500"/>
  </r>
  <r>
    <s v="EMP124"/>
    <s v="Vinoth B"/>
    <s v="Noida"/>
    <x v="11"/>
    <s v="Documentation Executive"/>
    <n v="24000"/>
  </r>
  <r>
    <s v="EMP125"/>
    <s v="Karthik Prasad"/>
    <s v="Ahmedabad"/>
    <x v="9"/>
    <s v="Payroll Executive"/>
    <n v="29000"/>
  </r>
  <r>
    <s v="EMP126"/>
    <s v="Saravanan B"/>
    <s v="Chennai"/>
    <x v="6"/>
    <s v="Sourcing Executive"/>
    <n v="33000"/>
  </r>
  <r>
    <s v="EMP127"/>
    <s v="Dinesh Krishnan"/>
    <s v="Hyderabad"/>
    <x v="4"/>
    <s v="Accounts Manager"/>
    <n v="65000"/>
  </r>
  <r>
    <s v="EMP128"/>
    <s v="Arun Krishnan"/>
    <s v="Mumbai"/>
    <x v="10"/>
    <s v="Customer Success Executive"/>
    <n v="38000"/>
  </r>
  <r>
    <s v="EMP129"/>
    <s v="Dinesh Selvam"/>
    <s v="Hyderabad"/>
    <x v="4"/>
    <s v="Finance Executive"/>
    <n v="31500"/>
  </r>
  <r>
    <s v="EMP130"/>
    <s v="Sanjay Babu"/>
    <s v="Mumbai"/>
    <x v="8"/>
    <s v="Maintenance Manager"/>
    <n v="84500"/>
  </r>
  <r>
    <s v="EMP131"/>
    <s v="Yuvaraj B"/>
    <s v="Bengaluru"/>
    <x v="5"/>
    <s v="Senior Sales Executive"/>
    <n v="36000"/>
  </r>
  <r>
    <s v="EMP132"/>
    <s v="Ganesh Raj"/>
    <s v="Ahmedabad"/>
    <x v="1"/>
    <s v="Business Development Manager"/>
    <n v="55500"/>
  </r>
  <r>
    <s v="EMP133"/>
    <s v="Madhan Prasad"/>
    <s v="Mumbai"/>
    <x v="8"/>
    <s v="Mechanical Technician"/>
    <n v="28500"/>
  </r>
  <r>
    <s v="EMP134"/>
    <s v="Bharath Raj"/>
    <s v="Mumbai"/>
    <x v="2"/>
    <s v="Front Office Executive"/>
    <n v="26000"/>
  </r>
  <r>
    <s v="EMP135"/>
    <s v="Manoj N"/>
    <s v="Bengaluru"/>
    <x v="6"/>
    <s v="Purchase Executive"/>
    <n v="33500"/>
  </r>
  <r>
    <s v="EMP136"/>
    <s v="Ashwin Raj"/>
    <s v="Hyderabad"/>
    <x v="1"/>
    <s v="Business Development Manager"/>
    <n v="68500"/>
  </r>
  <r>
    <s v="EMP137"/>
    <s v="Vignesh Kumar"/>
    <s v="Ahmedabad"/>
    <x v="11"/>
    <s v="Operations Manager"/>
    <n v="66500"/>
  </r>
  <r>
    <s v="EMP138"/>
    <s v="Aravind G"/>
    <s v="Bengaluru"/>
    <x v="5"/>
    <s v="Area Sales Executive"/>
    <n v="31000"/>
  </r>
  <r>
    <s v="EMP139"/>
    <s v="Lokesh N"/>
    <s v="Mumbai"/>
    <x v="2"/>
    <s v="Front Office Executive"/>
    <n v="24000"/>
  </r>
  <r>
    <s v="EMP140"/>
    <s v="Sathish S"/>
    <s v="Noida"/>
    <x v="1"/>
    <s v="Corporate Sales Executive"/>
    <n v="44000"/>
  </r>
  <r>
    <s v="EMP141"/>
    <s v="Saravanan Raja"/>
    <s v="Mumbai"/>
    <x v="2"/>
    <s v="Receptionist"/>
    <n v="19500"/>
  </r>
  <r>
    <s v="EMP142"/>
    <s v="Karthik Raj"/>
    <s v="Coimbatore"/>
    <x v="10"/>
    <s v="Customer Service Executive"/>
    <n v="25500"/>
  </r>
  <r>
    <s v="EMP143"/>
    <s v="Mohan G"/>
    <s v="Pune"/>
    <x v="1"/>
    <s v="Corporate Sales Executive"/>
    <n v="47000"/>
  </r>
  <r>
    <s v="EMP144"/>
    <s v="Ramesh N"/>
    <s v="Mumbai"/>
    <x v="11"/>
    <s v="Documentation Executive"/>
    <n v="26000"/>
  </r>
  <r>
    <s v="EMP145"/>
    <s v="Naveen N"/>
    <s v="Coimbatore"/>
    <x v="8"/>
    <s v="Electrical Technician"/>
    <n v="31500"/>
  </r>
  <r>
    <s v="EMP146"/>
    <s v="Dinesh Kannan"/>
    <s v="Hyderabad"/>
    <x v="11"/>
    <s v="Documentation Executive"/>
    <n v="25000"/>
  </r>
  <r>
    <s v="EMP147"/>
    <s v="Vinoth Krishnan"/>
    <s v="Delhi"/>
    <x v="5"/>
    <s v="Sales Executive"/>
    <n v="29500"/>
  </r>
  <r>
    <s v="EMP148"/>
    <s v="Bharath Kannan"/>
    <s v="Kochi"/>
    <x v="0"/>
    <s v="Production Manager"/>
    <n v="89500"/>
  </r>
  <r>
    <s v="EMP149"/>
    <s v="Vinoth Narayanan"/>
    <s v="Ahmedabad"/>
    <x v="3"/>
    <s v="Admin Executive"/>
    <n v="24000"/>
  </r>
  <r>
    <s v="EMP150"/>
    <s v="Mohan V"/>
    <s v="Delhi"/>
    <x v="6"/>
    <s v="Procurement Manager"/>
    <n v="62000"/>
  </r>
  <r>
    <s v="EMP151"/>
    <s v="Rahul R"/>
    <s v="Noida"/>
    <x v="6"/>
    <s v="Sourcing Executive"/>
    <n v="35000"/>
  </r>
  <r>
    <s v="EMP152"/>
    <s v="Harish R"/>
    <s v="Pune"/>
    <x v="0"/>
    <s v="Production Manager"/>
    <n v="62000"/>
  </r>
  <r>
    <s v="EMP153"/>
    <s v="Ganesh M"/>
    <s v="Ahmedabad"/>
    <x v="5"/>
    <s v="Area Sales Executive"/>
    <n v="35000"/>
  </r>
  <r>
    <s v="EMP154"/>
    <s v="Yuvaraj Raj"/>
    <s v="Coimbatore"/>
    <x v="8"/>
    <s v="Maintenance Supervisor"/>
    <n v="41000"/>
  </r>
  <r>
    <s v="EMP155"/>
    <s v="Vinoth Selvam"/>
    <s v="Coimbatore"/>
    <x v="10"/>
    <s v="Customer Relationship Officer"/>
    <n v="27500"/>
  </r>
  <r>
    <s v="EMP156"/>
    <s v="Naveen M"/>
    <s v="Noida"/>
    <x v="9"/>
    <s v="HR Manager"/>
    <n v="66000"/>
  </r>
  <r>
    <s v="EMP157"/>
    <s v="Yogesh S"/>
    <s v="Coimbatore"/>
    <x v="4"/>
    <s v="Accountant"/>
    <n v="35000"/>
  </r>
  <r>
    <s v="EMP158"/>
    <s v="Karthik P"/>
    <s v="Ahmedabad"/>
    <x v="4"/>
    <s v="Accounts Manager"/>
    <n v="86000"/>
  </r>
  <r>
    <s v="EMP159"/>
    <s v="Yuvaraj T"/>
    <s v="Noida"/>
    <x v="0"/>
    <s v="Shift Incharge"/>
    <n v="50500"/>
  </r>
  <r>
    <s v="EMP160"/>
    <s v="Rahul B"/>
    <s v="Kochi"/>
    <x v="0"/>
    <s v="Production Manager"/>
    <n v="68500"/>
  </r>
  <r>
    <s v="EMP161"/>
    <s v="Deepak G"/>
    <s v="Chennai"/>
    <x v="5"/>
    <s v="Key Account Executive"/>
    <n v="48000"/>
  </r>
  <r>
    <s v="EMP162"/>
    <s v="Ramesh G"/>
    <s v="Chennai"/>
    <x v="4"/>
    <s v="Accounts Executive"/>
    <n v="28000"/>
  </r>
  <r>
    <s v="EMP163"/>
    <s v="Praveen Kannan"/>
    <s v="Mumbai"/>
    <x v="10"/>
    <s v="Customer Relationship Officer"/>
    <n v="28500"/>
  </r>
  <r>
    <s v="EMP164"/>
    <s v="Yogesh T"/>
    <s v="Delhi"/>
    <x v="7"/>
    <s v="IT Support Engineer"/>
    <n v="29000"/>
  </r>
  <r>
    <s v="EMP165"/>
    <s v="Sanjay Selvam"/>
    <s v="Kochi"/>
    <x v="0"/>
    <s v="Quality Inspector"/>
    <n v="29500"/>
  </r>
  <r>
    <s v="EMP166"/>
    <s v="Dinesh B"/>
    <s v="Pune"/>
    <x v="4"/>
    <s v="Accounts Manager"/>
    <n v="78000"/>
  </r>
  <r>
    <s v="EMP167"/>
    <s v="Kishore Krishnan"/>
    <s v="Coimbatore"/>
    <x v="1"/>
    <s v="Senior Business Development Executive"/>
    <n v="47500"/>
  </r>
  <r>
    <s v="EMP168"/>
    <s v="Saravanan Murugan"/>
    <s v="Mumbai"/>
    <x v="0"/>
    <s v="Production Manager"/>
    <n v="64500"/>
  </r>
  <r>
    <s v="EMP169"/>
    <s v="Naveen S"/>
    <s v="Ahmedabad"/>
    <x v="0"/>
    <s v="Production Executive"/>
    <n v="24500"/>
  </r>
  <r>
    <s v="EMP170"/>
    <s v="Praveen Babu"/>
    <s v="Chennai"/>
    <x v="0"/>
    <s v="Shift Incharge"/>
    <n v="47000"/>
  </r>
  <r>
    <s v="EMP171"/>
    <s v="Nithin K"/>
    <s v="Chennai"/>
    <x v="2"/>
    <s v="Front Office Executive"/>
    <n v="25500"/>
  </r>
  <r>
    <s v="EMP172"/>
    <s v="Praveen G"/>
    <s v="Hyderabad"/>
    <x v="2"/>
    <s v="Receptionist"/>
    <n v="24500"/>
  </r>
  <r>
    <s v="EMP173"/>
    <s v="Ajay Murugan"/>
    <s v="Kochi"/>
    <x v="3"/>
    <s v="Facility Executive"/>
    <n v="26500"/>
  </r>
  <r>
    <s v="EMP174"/>
    <s v="Manoj Raja"/>
    <s v="Chennai"/>
    <x v="9"/>
    <s v="Payroll Executive"/>
    <n v="32500"/>
  </r>
  <r>
    <s v="EMP175"/>
    <s v="Ashwin Narayanan"/>
    <s v="Hyderabad"/>
    <x v="1"/>
    <s v="Business Development Executive"/>
    <n v="32000"/>
  </r>
  <r>
    <s v="EMP176"/>
    <s v="Nithin Krishnan"/>
    <s v="Coimbatore"/>
    <x v="0"/>
    <s v="Production Executive"/>
    <n v="25000"/>
  </r>
  <r>
    <s v="EMP177"/>
    <s v="Deepak Narayanan"/>
    <s v="Hyderabad"/>
    <x v="0"/>
    <s v="Shift Incharge"/>
    <n v="49500"/>
  </r>
  <r>
    <s v="EMP178"/>
    <s v="Karthik Murugan"/>
    <s v="Pune"/>
    <x v="3"/>
    <s v="Facility Executive"/>
    <n v="25500"/>
  </r>
  <r>
    <s v="EMP179"/>
    <s v="Naveen Kannan"/>
    <s v="Delhi"/>
    <x v="0"/>
    <s v="Quality Inspector"/>
    <n v="28000"/>
  </r>
  <r>
    <s v="EMP180"/>
    <s v="Ramesh Kannan"/>
    <s v="Ahmedabad"/>
    <x v="8"/>
    <s v="Maintenance Supervisor"/>
    <n v="53500"/>
  </r>
  <r>
    <s v="EMP181"/>
    <s v="Manoj Narayanan"/>
    <s v="Ahmedabad"/>
    <x v="4"/>
    <s v="Senior Accountant"/>
    <n v="54000"/>
  </r>
  <r>
    <s v="EMP182"/>
    <s v="Sathish Prasad"/>
    <s v="Hyderabad"/>
    <x v="7"/>
    <s v="IT Manager"/>
    <n v="83000"/>
  </r>
  <r>
    <s v="EMP183"/>
    <s v="Madhan N"/>
    <s v="Pune"/>
    <x v="2"/>
    <s v="Front Desk Coordinator"/>
    <n v="26500"/>
  </r>
  <r>
    <s v="EMP184"/>
    <s v="Ramesh R"/>
    <s v="Pune"/>
    <x v="3"/>
    <s v="Admin Executive"/>
    <n v="25000"/>
  </r>
  <r>
    <s v="EMP185"/>
    <s v="Nithin R"/>
    <s v="Noida"/>
    <x v="2"/>
    <s v="Front Office Executive"/>
    <n v="29000"/>
  </r>
  <r>
    <s v="EMP186"/>
    <s v="Arun Narayanan"/>
    <s v="Noida"/>
    <x v="11"/>
    <s v="Operations Executive"/>
    <n v="28500"/>
  </r>
  <r>
    <s v="EMP187"/>
    <s v="Lokesh Raj"/>
    <s v="Coimbatore"/>
    <x v="1"/>
    <s v="Business Development Manager"/>
    <n v="64000"/>
  </r>
  <r>
    <s v="EMP188"/>
    <s v="Dinesh N"/>
    <s v="Kochi"/>
    <x v="8"/>
    <s v="Maintenance Manager"/>
    <n v="75500"/>
  </r>
  <r>
    <s v="EMP189"/>
    <s v="Saravanan M"/>
    <s v="Coimbatore"/>
    <x v="11"/>
    <s v="Documentation Executive"/>
    <n v="25000"/>
  </r>
  <r>
    <s v="EMP190"/>
    <s v="Prakash Krishnan"/>
    <s v="Mumbai"/>
    <x v="3"/>
    <s v="Office Administrator"/>
    <n v="25500"/>
  </r>
  <r>
    <s v="EMP191"/>
    <s v="Saravanan S"/>
    <s v="Delhi"/>
    <x v="3"/>
    <s v="Office Administrator"/>
    <n v="34000"/>
  </r>
  <r>
    <s v="EMP192"/>
    <s v="Ajay B"/>
    <s v="Noida"/>
    <x v="1"/>
    <s v="Business Development Manager"/>
    <n v="60500"/>
  </r>
  <r>
    <s v="EMP193"/>
    <s v="Suresh P"/>
    <s v="Mumbai"/>
    <x v="3"/>
    <s v="Facility Executive"/>
    <n v="25500"/>
  </r>
  <r>
    <s v="EMP194"/>
    <s v="Bharath Krishnan"/>
    <s v="Noida"/>
    <x v="6"/>
    <s v="Sourcing Executive"/>
    <n v="32000"/>
  </r>
  <r>
    <s v="EMP195"/>
    <s v="Vinoth R"/>
    <s v="Kochi"/>
    <x v="6"/>
    <s v="Purchase Executive"/>
    <n v="27500"/>
  </r>
  <r>
    <s v="EMP196"/>
    <s v="Lokesh Raja"/>
    <s v="Mumbai"/>
    <x v="9"/>
    <s v="Payroll Executive"/>
    <n v="29500"/>
  </r>
  <r>
    <s v="EMP197"/>
    <s v="Mohan K"/>
    <s v="Chennai"/>
    <x v="7"/>
    <s v="IT Manager"/>
    <n v="92000"/>
  </r>
  <r>
    <s v="EMP198"/>
    <s v="Ajay Narayanan"/>
    <s v="Delhi"/>
    <x v="11"/>
    <s v="Documentation Executive"/>
    <n v="29500"/>
  </r>
  <r>
    <s v="EMP199"/>
    <s v="Ashwin Kumar"/>
    <s v="Kochi"/>
    <x v="0"/>
    <s v="Production Supervisor"/>
    <n v="39000"/>
  </r>
  <r>
    <s v="EMP200"/>
    <s v="Vijay B"/>
    <s v="Ahmedabad"/>
    <x v="11"/>
    <s v="Operations Manager"/>
    <n v="77000"/>
  </r>
  <r>
    <s v="EMP201"/>
    <s v="Bharath Narayanan"/>
    <s v="Delhi"/>
    <x v="0"/>
    <s v="Production Manager"/>
    <n v="73500"/>
  </r>
  <r>
    <s v="EMP202"/>
    <s v="Mohan B"/>
    <s v="Hyderabad"/>
    <x v="11"/>
    <s v="Data Entry Executive"/>
    <n v="21500"/>
  </r>
  <r>
    <s v="EMP203"/>
    <s v="Dinesh G"/>
    <s v="Coimbatore"/>
    <x v="11"/>
    <s v="Operations Executive"/>
    <n v="31000"/>
  </r>
  <r>
    <s v="EMP204"/>
    <s v="Yogesh Narayanan"/>
    <s v="Pune"/>
    <x v="11"/>
    <s v="Operations Manager"/>
    <n v="59000"/>
  </r>
  <r>
    <s v="EMP205"/>
    <s v="Manoj M"/>
    <s v="Hyderabad"/>
    <x v="4"/>
    <s v="Finance Executive"/>
    <n v="36000"/>
  </r>
  <r>
    <s v="EMP206"/>
    <s v="Naveen V"/>
    <s v="Coimbatore"/>
    <x v="4"/>
    <s v="Accounts Executive"/>
    <n v="24500"/>
  </r>
  <r>
    <s v="EMP207"/>
    <s v="Lokesh M"/>
    <s v="Mumbai"/>
    <x v="9"/>
    <s v="Payroll Executive"/>
    <n v="31500"/>
  </r>
  <r>
    <s v="EMP208"/>
    <s v="Ganesh Krishnan"/>
    <s v="Coimbatore"/>
    <x v="4"/>
    <s v="Senior Accountant"/>
    <n v="42500"/>
  </r>
  <r>
    <s v="EMP209"/>
    <s v="Deepak B"/>
    <s v="Kochi"/>
    <x v="8"/>
    <s v="Mechanical Technician"/>
    <n v="30000"/>
  </r>
  <r>
    <s v="EMP210"/>
    <s v="Madhan K"/>
    <s v="Noida"/>
    <x v="7"/>
    <s v="Software Developer"/>
    <n v="63500"/>
  </r>
  <r>
    <s v="EMP211"/>
    <s v="Suresh Selvam"/>
    <s v="Bengaluru"/>
    <x v="6"/>
    <s v="Buyer"/>
    <n v="42000"/>
  </r>
  <r>
    <s v="EMP212"/>
    <s v="Harish P"/>
    <s v="Ahmedabad"/>
    <x v="5"/>
    <s v="Key Account Executive"/>
    <n v="45500"/>
  </r>
  <r>
    <s v="EMP213"/>
    <s v="Saravanan Narayanan"/>
    <s v="Hyderabad"/>
    <x v="11"/>
    <s v="Operations Executive"/>
    <n v="31500"/>
  </r>
  <r>
    <s v="EMP214"/>
    <s v="Mohan Kannan"/>
    <s v="Bengaluru"/>
    <x v="6"/>
    <s v="Purchase Executive"/>
    <n v="30000"/>
  </r>
  <r>
    <s v="EMP215"/>
    <s v="Karthik V"/>
    <s v="Bengaluru"/>
    <x v="7"/>
    <s v="IT Support Engineer"/>
    <n v="33500"/>
  </r>
  <r>
    <s v="EMP216"/>
    <s v="Arun Babu"/>
    <s v="Noida"/>
    <x v="0"/>
    <s v="Production Manager"/>
    <n v="57500"/>
  </r>
  <r>
    <s v="EMP217"/>
    <s v="Praveen Raj"/>
    <s v="Ahmedabad"/>
    <x v="5"/>
    <s v="Senior Sales Executive"/>
    <n v="42000"/>
  </r>
  <r>
    <s v="EMP218"/>
    <s v="Rahul V"/>
    <s v="Noida"/>
    <x v="4"/>
    <s v="Senior Accountant"/>
    <n v="55000"/>
  </r>
  <r>
    <s v="EMP219"/>
    <s v="Arun S"/>
    <s v="Mumbai"/>
    <x v="9"/>
    <s v="HR Executive"/>
    <n v="27000"/>
  </r>
  <r>
    <s v="EMP220"/>
    <s v="Vignesh G"/>
    <s v="Delhi"/>
    <x v="6"/>
    <s v="Procurement Manager"/>
    <n v="61000"/>
  </r>
  <r>
    <s v="EMP221"/>
    <s v="Lokesh K"/>
    <s v="Chennai"/>
    <x v="11"/>
    <s v="Documentation Executive"/>
    <n v="26500"/>
  </r>
  <r>
    <s v="EMP222"/>
    <s v="Vinoth Murugan"/>
    <s v="Hyderabad"/>
    <x v="0"/>
    <s v="Quality Inspector"/>
    <n v="34000"/>
  </r>
  <r>
    <s v="EMP223"/>
    <s v="Prakash R"/>
    <s v="Noida"/>
    <x v="8"/>
    <s v="Maintenance Supervisor"/>
    <n v="53500"/>
  </r>
  <r>
    <s v="EMP224"/>
    <s v="Bharath Murugan"/>
    <s v="Coimbatore"/>
    <x v="0"/>
    <s v="Shift Incharge"/>
    <n v="54000"/>
  </r>
  <r>
    <s v="EMP225"/>
    <s v="Ramesh Prasad"/>
    <s v="Delhi"/>
    <x v="2"/>
    <s v="Front Office Executive"/>
    <n v="28000"/>
  </r>
  <r>
    <s v="EMP226"/>
    <s v="Sathish R"/>
    <s v="Bengaluru"/>
    <x v="7"/>
    <s v="System Administrator"/>
    <n v="39000"/>
  </r>
  <r>
    <s v="EMP227"/>
    <s v="Mohan N"/>
    <s v="Hyderabad"/>
    <x v="11"/>
    <s v="MIS Executive"/>
    <n v="29000"/>
  </r>
  <r>
    <s v="EMP228"/>
    <s v="Naveen Murugan"/>
    <s v="Bengaluru"/>
    <x v="2"/>
    <s v="Front Desk Coordinator"/>
    <n v="31500"/>
  </r>
  <r>
    <s v="EMP229"/>
    <s v="Mohan Babu"/>
    <s v="Noida"/>
    <x v="4"/>
    <s v="Accountant"/>
    <n v="33500"/>
  </r>
  <r>
    <s v="EMP230"/>
    <s v="Naveen T"/>
    <s v="Hyderabad"/>
    <x v="10"/>
    <s v="Customer Service Executive"/>
    <n v="25000"/>
  </r>
  <r>
    <s v="EMP231"/>
    <s v="Ganesh R"/>
    <s v="Chennai"/>
    <x v="8"/>
    <s v="Maintenance Engineer"/>
    <n v="46000"/>
  </r>
  <r>
    <s v="EMP232"/>
    <s v="Dinesh M"/>
    <s v="Noida"/>
    <x v="10"/>
    <s v="Relationship Manager"/>
    <n v="50500"/>
  </r>
  <r>
    <s v="EMP233"/>
    <s v="Praveen Murugan"/>
    <s v="Ahmedabad"/>
    <x v="6"/>
    <s v="Procurement Executive"/>
    <n v="34500"/>
  </r>
  <r>
    <s v="EMP234"/>
    <s v="Lokesh Selvam"/>
    <s v="Bengaluru"/>
    <x v="11"/>
    <s v="MIS Executive"/>
    <n v="28000"/>
  </r>
  <r>
    <s v="EMP235"/>
    <s v="Vinoth Babu"/>
    <s v="Pune"/>
    <x v="2"/>
    <s v="Front Desk Coordinator"/>
    <n v="27500"/>
  </r>
  <r>
    <s v="EMP236"/>
    <s v="Mohan T"/>
    <s v="Chennai"/>
    <x v="5"/>
    <s v="Senior Sales Executive"/>
    <n v="35000"/>
  </r>
  <r>
    <s v="EMP237"/>
    <s v="Karthik N"/>
    <s v="Mumbai"/>
    <x v="9"/>
    <s v="HR Manager"/>
    <n v="84500"/>
  </r>
  <r>
    <s v="EMP238"/>
    <s v="Nithin Raja"/>
    <s v="Coimbatore"/>
    <x v="10"/>
    <s v="Customer Service Executive"/>
    <n v="23500"/>
  </r>
  <r>
    <s v="EMP239"/>
    <s v="Mohan Prasad"/>
    <s v="Bengaluru"/>
    <x v="2"/>
    <s v="Front Office Manager"/>
    <n v="55000"/>
  </r>
  <r>
    <s v="EMP240"/>
    <s v="Naveen K"/>
    <s v="Mumbai"/>
    <x v="5"/>
    <s v="Senior Sales Executive"/>
    <n v="44500"/>
  </r>
  <r>
    <s v="EMP241"/>
    <s v="Ajay M"/>
    <s v="Kochi"/>
    <x v="5"/>
    <s v="Key Account Executive"/>
    <n v="47500"/>
  </r>
  <r>
    <s v="EMP242"/>
    <s v="Suresh Kannan"/>
    <s v="Bengaluru"/>
    <x v="0"/>
    <s v="Production Manager"/>
    <n v="84000"/>
  </r>
  <r>
    <s v="EMP243"/>
    <s v="Naveen Raja"/>
    <s v="Ahmedabad"/>
    <x v="3"/>
    <s v="Admin Executive"/>
    <n v="29000"/>
  </r>
  <r>
    <s v="EMP244"/>
    <s v="Praveen T"/>
    <s v="Kochi"/>
    <x v="1"/>
    <s v="Corporate Sales Executive"/>
    <n v="49000"/>
  </r>
  <r>
    <s v="EMP245"/>
    <s v="Ajay P"/>
    <s v="Mumbai"/>
    <x v="3"/>
    <s v="Office Administrator"/>
    <n v="28500"/>
  </r>
  <r>
    <s v="EMP246"/>
    <s v="Bharath Raja"/>
    <s v="Chennai"/>
    <x v="0"/>
    <s v="Production Supervisor"/>
    <n v="44000"/>
  </r>
  <r>
    <s v="EMP247"/>
    <s v="Nithin Selvam"/>
    <s v="Kochi"/>
    <x v="10"/>
    <s v="CRM Executive"/>
    <n v="24000"/>
  </r>
  <r>
    <s v="EMP248"/>
    <s v="Ramesh Raj"/>
    <s v="Bengaluru"/>
    <x v="6"/>
    <s v="Procurement Manager"/>
    <n v="80500"/>
  </r>
  <r>
    <s v="EMP249"/>
    <s v="Yogesh Selvam"/>
    <s v="Bengaluru"/>
    <x v="2"/>
    <s v="Front Office Executive"/>
    <n v="30000"/>
  </r>
  <r>
    <s v="EMP250"/>
    <s v="Bharath T"/>
    <s v="Pune"/>
    <x v="8"/>
    <s v="Maintenance Manager"/>
    <n v="82000"/>
  </r>
  <r>
    <s v="EMP251"/>
    <s v="Harish Raj"/>
    <s v="Noida"/>
    <x v="5"/>
    <s v="Area Sales Executive"/>
    <n v="36000"/>
  </r>
  <r>
    <s v="EMP252"/>
    <s v="Yuvaraj Selvam"/>
    <s v="Hyderabad"/>
    <x v="8"/>
    <s v="Maintenance Supervisor"/>
    <n v="47500"/>
  </r>
  <r>
    <s v="EMP253"/>
    <s v="Vinoth Raj"/>
    <s v="Hyderabad"/>
    <x v="7"/>
    <s v="Software Developer"/>
    <n v="64500"/>
  </r>
  <r>
    <s v="EMP254"/>
    <s v="Nithin Prasad"/>
    <s v="Bengaluru"/>
    <x v="5"/>
    <s v="Key Account Executive"/>
    <n v="38500"/>
  </r>
  <r>
    <s v="EMP255"/>
    <s v="Manoj Kannan"/>
    <s v="Bengaluru"/>
    <x v="8"/>
    <s v="Electrical Technician"/>
    <n v="27000"/>
  </r>
  <r>
    <s v="EMP256"/>
    <s v="Vijay Prasad"/>
    <s v="Chennai"/>
    <x v="10"/>
    <s v="CRM Executive"/>
    <n v="24000"/>
  </r>
  <r>
    <s v="EMP257"/>
    <s v="Aravind Prasad"/>
    <s v="Delhi"/>
    <x v="10"/>
    <s v="Customer Success Executive"/>
    <n v="40500"/>
  </r>
  <r>
    <s v="EMP258"/>
    <s v="Madhan Kannan"/>
    <s v="Delhi"/>
    <x v="5"/>
    <s v="Sales Executive"/>
    <n v="30000"/>
  </r>
  <r>
    <s v="EMP259"/>
    <s v="Yuvaraj R"/>
    <s v="Chennai"/>
    <x v="3"/>
    <s v="Office Coordinator"/>
    <n v="31500"/>
  </r>
  <r>
    <s v="EMP260"/>
    <s v="Lokesh Babu"/>
    <s v="Mumbai"/>
    <x v="5"/>
    <s v="Key Account Executive"/>
    <n v="41500"/>
  </r>
  <r>
    <s v="EMP261"/>
    <s v="Mohan Raja"/>
    <s v="Kochi"/>
    <x v="1"/>
    <s v="Senior Business Development Executive"/>
    <n v="44000"/>
  </r>
  <r>
    <s v="EMP262"/>
    <s v="Ganesh G"/>
    <s v="Pune"/>
    <x v="9"/>
    <s v="Recruiter"/>
    <n v="26500"/>
  </r>
  <r>
    <s v="EMP263"/>
    <s v="Bharath Prasad"/>
    <s v="Delhi"/>
    <x v="4"/>
    <s v="Accounts Executive"/>
    <n v="23500"/>
  </r>
  <r>
    <s v="EMP264"/>
    <s v="Deepak T"/>
    <s v="Hyderabad"/>
    <x v="3"/>
    <s v="Facility Executive"/>
    <n v="28000"/>
  </r>
  <r>
    <s v="EMP265"/>
    <s v="Dinesh Babu"/>
    <s v="Kochi"/>
    <x v="5"/>
    <s v="Key Account Executive"/>
    <n v="36000"/>
  </r>
  <r>
    <s v="EMP266"/>
    <s v="Yogesh Murugan"/>
    <s v="Bengaluru"/>
    <x v="10"/>
    <s v="CRM Executive"/>
    <n v="27500"/>
  </r>
  <r>
    <s v="EMP267"/>
    <s v="Ajay T"/>
    <s v="Bengaluru"/>
    <x v="5"/>
    <s v="Sales Manager"/>
    <n v="61500"/>
  </r>
  <r>
    <s v="EMP268"/>
    <s v="Karthik Kannan"/>
    <s v="Mumbai"/>
    <x v="8"/>
    <s v="Electrical Technician"/>
    <n v="29500"/>
  </r>
  <r>
    <s v="EMP269"/>
    <s v="Sanjay Narayanan"/>
    <s v="Pune"/>
    <x v="0"/>
    <s v="Production Supervisor"/>
    <n v="39000"/>
  </r>
  <r>
    <s v="EMP270"/>
    <s v="Manoj V"/>
    <s v="Pune"/>
    <x v="7"/>
    <s v="IT Manager"/>
    <n v="72500"/>
  </r>
  <r>
    <s v="EMP271"/>
    <s v="Ganesh Raja"/>
    <s v="Bengaluru"/>
    <x v="1"/>
    <s v="Corporate Sales Executive"/>
    <n v="47500"/>
  </r>
  <r>
    <s v="EMP272"/>
    <s v="Bharath P"/>
    <s v="Delhi"/>
    <x v="4"/>
    <s v="Accountant"/>
    <n v="31500"/>
  </r>
  <r>
    <s v="EMP273"/>
    <s v="Nithin Babu"/>
    <s v="Noida"/>
    <x v="8"/>
    <s v="Maintenance Supervisor"/>
    <n v="44500"/>
  </r>
  <r>
    <s v="EMP274"/>
    <s v="Saravanan Babu"/>
    <s v="Chennai"/>
    <x v="1"/>
    <s v="Business Development Executive"/>
    <n v="26000"/>
  </r>
  <r>
    <s v="EMP275"/>
    <s v="Ashwin Raja"/>
    <s v="Kochi"/>
    <x v="4"/>
    <s v="Accounts Executive"/>
    <n v="26500"/>
  </r>
  <r>
    <s v="EMP276"/>
    <s v="Madhan Murugan"/>
    <s v="Coimbatore"/>
    <x v="8"/>
    <s v="Maintenance Engineer"/>
    <n v="36000"/>
  </r>
  <r>
    <s v="EMP277"/>
    <s v="Sanjay R"/>
    <s v="Noida"/>
    <x v="11"/>
    <s v="Operations Executive"/>
    <n v="33000"/>
  </r>
  <r>
    <s v="EMP278"/>
    <s v="Praveen Krishnan"/>
    <s v="Delhi"/>
    <x v="8"/>
    <s v="Mechanical Technician"/>
    <n v="34500"/>
  </r>
  <r>
    <s v="EMP279"/>
    <s v="Dinesh P"/>
    <s v="Chennai"/>
    <x v="8"/>
    <s v="Maintenance Supervisor"/>
    <n v="54500"/>
  </r>
  <r>
    <s v="EMP280"/>
    <s v="Vinoth T"/>
    <s v="Kochi"/>
    <x v="10"/>
    <s v="CRM Executive"/>
    <n v="23000"/>
  </r>
  <r>
    <s v="EMP281"/>
    <s v="Praveen Kumar"/>
    <s v="Kochi"/>
    <x v="3"/>
    <s v="Facility Executive"/>
    <n v="31500"/>
  </r>
  <r>
    <s v="EMP282"/>
    <s v="Harish Selvam"/>
    <s v="Delhi"/>
    <x v="2"/>
    <s v="Front Office Executive"/>
    <n v="24000"/>
  </r>
  <r>
    <s v="EMP283"/>
    <s v="Aravind K"/>
    <s v="Coimbatore"/>
    <x v="6"/>
    <s v="Buyer"/>
    <n v="37500"/>
  </r>
  <r>
    <s v="EMP284"/>
    <s v="Naveen Babu"/>
    <s v="Mumbai"/>
    <x v="9"/>
    <s v="HR Executive"/>
    <n v="29500"/>
  </r>
  <r>
    <s v="EMP285"/>
    <s v="Kishore Kannan"/>
    <s v="Coimbatore"/>
    <x v="7"/>
    <s v="IT Manager"/>
    <n v="76500"/>
  </r>
  <r>
    <s v="EMP286"/>
    <s v="Rahul N"/>
    <s v="Coimbatore"/>
    <x v="3"/>
    <s v="Facility Executive"/>
    <n v="32500"/>
  </r>
  <r>
    <s v="EMP287"/>
    <s v="Arun Kumar"/>
    <s v="Delhi"/>
    <x v="8"/>
    <s v="Maintenance Engineer"/>
    <n v="38000"/>
  </r>
  <r>
    <s v="EMP288"/>
    <s v="Ajay Kumar"/>
    <s v="Coimbatore"/>
    <x v="3"/>
    <s v="Office Administrator"/>
    <n v="29500"/>
  </r>
  <r>
    <s v="EMP289"/>
    <s v="Arun K"/>
    <s v="Noida"/>
    <x v="0"/>
    <s v="Shift Incharge"/>
    <n v="45500"/>
  </r>
  <r>
    <s v="EMP290"/>
    <s v="Prakash Prasad"/>
    <s v="Bengaluru"/>
    <x v="10"/>
    <s v="Customer Service Executive"/>
    <n v="30000"/>
  </r>
  <r>
    <s v="EMP291"/>
    <s v="Bharath N"/>
    <s v="Chennai"/>
    <x v="4"/>
    <s v="Senior Accountant"/>
    <n v="40000"/>
  </r>
  <r>
    <s v="EMP292"/>
    <s v="Suresh Murugan"/>
    <s v="Hyderabad"/>
    <x v="8"/>
    <s v="Maintenance Supervisor"/>
    <n v="48500"/>
  </r>
  <r>
    <s v="EMP293"/>
    <s v="Rahul K"/>
    <s v="Delhi"/>
    <x v="8"/>
    <s v="Maintenance Engineer"/>
    <n v="46500"/>
  </r>
  <r>
    <s v="EMP294"/>
    <s v="Nithin N"/>
    <s v="Hyderabad"/>
    <x v="7"/>
    <s v="Network Engineer"/>
    <n v="40000"/>
  </r>
  <r>
    <s v="EMP295"/>
    <s v="Praveen M"/>
    <s v="Delhi"/>
    <x v="5"/>
    <s v="Key Account Executive"/>
    <n v="39500"/>
  </r>
  <r>
    <s v="EMP296"/>
    <s v="Sanjay B"/>
    <s v="Mumbai"/>
    <x v="5"/>
    <s v="Senior Sales Executive"/>
    <n v="37500"/>
  </r>
  <r>
    <s v="EMP297"/>
    <s v="Vinoth Kannan"/>
    <s v="Ahmedabad"/>
    <x v="0"/>
    <s v="Production Executive"/>
    <n v="23000"/>
  </r>
  <r>
    <s v="EMP298"/>
    <s v="Harish Narayanan"/>
    <s v="Coimbatore"/>
    <x v="3"/>
    <s v="Admin Executive"/>
    <n v="23500"/>
  </r>
  <r>
    <s v="EMP299"/>
    <s v="Ashwin B"/>
    <s v="Ahmedabad"/>
    <x v="4"/>
    <s v="Accountant"/>
    <n v="27000"/>
  </r>
  <r>
    <s v="EMP300"/>
    <s v="Ganesh Narayanan"/>
    <s v="Hyderabad"/>
    <x v="8"/>
    <s v="Maintenance Supervisor"/>
    <n v="4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s v="Production Executive"/>
    <n v="29000"/>
    <n v="1208.3333333333333"/>
    <n v="18"/>
    <n v="2"/>
    <n v="1"/>
    <n v="1"/>
    <n v="23562.5"/>
    <n v="3480"/>
    <n v="200"/>
    <n v="0"/>
    <n v="19882.5"/>
  </r>
  <r>
    <x v="1"/>
    <x v="1"/>
    <x v="0"/>
    <s v="Shift Incharge"/>
    <n v="46500"/>
    <n v="1937.5"/>
    <n v="20"/>
    <n v="2"/>
    <n v="1"/>
    <n v="1"/>
    <n v="41656.25"/>
    <n v="5580"/>
    <n v="200"/>
    <n v="0"/>
    <n v="35876.25"/>
  </r>
  <r>
    <x v="2"/>
    <x v="2"/>
    <x v="1"/>
    <s v="Senior Business Development Executive"/>
    <n v="44500"/>
    <n v="1854.1666666666667"/>
    <n v="22"/>
    <n v="1"/>
    <n v="1"/>
    <n v="0"/>
    <n v="42645.833333333336"/>
    <n v="5340"/>
    <n v="200"/>
    <n v="0"/>
    <n v="37105.833333333336"/>
  </r>
  <r>
    <x v="3"/>
    <x v="3"/>
    <x v="2"/>
    <s v="Receptionist"/>
    <n v="20500"/>
    <n v="854.16666666666663"/>
    <n v="22"/>
    <n v="1"/>
    <n v="1"/>
    <n v="0"/>
    <n v="19645.833333333332"/>
    <n v="2460"/>
    <n v="0"/>
    <n v="147.34374999999997"/>
    <n v="17038.489583333332"/>
  </r>
  <r>
    <x v="4"/>
    <x v="4"/>
    <x v="2"/>
    <s v="Front Office Executive"/>
    <n v="29000"/>
    <n v="1208.3333333333333"/>
    <n v="18"/>
    <n v="1"/>
    <n v="1"/>
    <n v="0"/>
    <n v="22958.333333333332"/>
    <n v="3480"/>
    <n v="200"/>
    <n v="0"/>
    <n v="19278.333333333332"/>
  </r>
  <r>
    <x v="5"/>
    <x v="5"/>
    <x v="3"/>
    <s v="Admin Manager"/>
    <n v="53500"/>
    <n v="2229.1666666666665"/>
    <n v="18"/>
    <n v="2"/>
    <n v="1"/>
    <n v="1"/>
    <n v="43468.75"/>
    <n v="6420"/>
    <n v="200"/>
    <n v="0"/>
    <n v="36848.75"/>
  </r>
  <r>
    <x v="6"/>
    <x v="6"/>
    <x v="3"/>
    <s v="Office Coordinator"/>
    <n v="25500"/>
    <n v="1062.5"/>
    <n v="13"/>
    <n v="1"/>
    <n v="1"/>
    <n v="0"/>
    <n v="14875"/>
    <n v="3060"/>
    <n v="0"/>
    <n v="111.5625"/>
    <n v="11703.4375"/>
  </r>
  <r>
    <x v="7"/>
    <x v="7"/>
    <x v="4"/>
    <s v="Accountant"/>
    <n v="27500"/>
    <n v="1145.8333333333333"/>
    <n v="18"/>
    <n v="2"/>
    <n v="1"/>
    <n v="1"/>
    <n v="22343.75"/>
    <n v="3300"/>
    <n v="200"/>
    <n v="0"/>
    <n v="18843.75"/>
  </r>
  <r>
    <x v="8"/>
    <x v="8"/>
    <x v="5"/>
    <s v="Senior Sales Executive"/>
    <n v="43500"/>
    <n v="1812.5"/>
    <n v="22"/>
    <n v="1"/>
    <n v="1"/>
    <n v="0"/>
    <n v="41687.5"/>
    <n v="5220"/>
    <n v="200"/>
    <n v="0"/>
    <n v="36267.5"/>
  </r>
  <r>
    <x v="9"/>
    <x v="9"/>
    <x v="6"/>
    <s v="Buyer"/>
    <n v="45000"/>
    <n v="1875"/>
    <n v="22"/>
    <n v="1"/>
    <n v="1"/>
    <n v="0"/>
    <n v="43125"/>
    <n v="5400"/>
    <n v="200"/>
    <n v="0"/>
    <n v="37525"/>
  </r>
  <r>
    <x v="10"/>
    <x v="10"/>
    <x v="4"/>
    <s v="Finance Executive"/>
    <n v="36000"/>
    <n v="1500"/>
    <n v="21"/>
    <n v="1"/>
    <n v="1"/>
    <n v="0"/>
    <n v="33000"/>
    <n v="4320"/>
    <n v="200"/>
    <n v="0"/>
    <n v="28480"/>
  </r>
  <r>
    <x v="11"/>
    <x v="11"/>
    <x v="3"/>
    <s v="Office Administrator"/>
    <n v="28000"/>
    <n v="1166.6666666666667"/>
    <n v="19"/>
    <n v="1"/>
    <n v="1"/>
    <n v="0"/>
    <n v="23333.333333333336"/>
    <n v="3360"/>
    <n v="200"/>
    <n v="0"/>
    <n v="19773.333333333336"/>
  </r>
  <r>
    <x v="12"/>
    <x v="12"/>
    <x v="4"/>
    <s v="Senior Accountant"/>
    <n v="40500"/>
    <n v="1687.5"/>
    <n v="21"/>
    <n v="2"/>
    <n v="1"/>
    <n v="1"/>
    <n v="37968.75"/>
    <n v="4860"/>
    <n v="200"/>
    <n v="0"/>
    <n v="32908.75"/>
  </r>
  <r>
    <x v="13"/>
    <x v="13"/>
    <x v="7"/>
    <s v="Network Engineer"/>
    <n v="37000"/>
    <n v="1541.6666666666667"/>
    <n v="21"/>
    <n v="1"/>
    <n v="1"/>
    <n v="0"/>
    <n v="33916.666666666672"/>
    <n v="4440"/>
    <n v="200"/>
    <n v="0"/>
    <n v="29276.666666666672"/>
  </r>
  <r>
    <x v="14"/>
    <x v="14"/>
    <x v="3"/>
    <s v="Office Administrator"/>
    <n v="32000"/>
    <n v="1333.3333333333333"/>
    <n v="20"/>
    <n v="1"/>
    <n v="1"/>
    <n v="0"/>
    <n v="28000"/>
    <n v="3840"/>
    <n v="200"/>
    <n v="0"/>
    <n v="23960"/>
  </r>
  <r>
    <x v="15"/>
    <x v="15"/>
    <x v="6"/>
    <s v="Sourcing Executive"/>
    <n v="38000"/>
    <n v="1583.3333333333333"/>
    <n v="21"/>
    <n v="1"/>
    <n v="1"/>
    <n v="0"/>
    <n v="34833.333333333328"/>
    <n v="4560"/>
    <n v="200"/>
    <n v="0"/>
    <n v="30073.333333333328"/>
  </r>
  <r>
    <x v="16"/>
    <x v="16"/>
    <x v="1"/>
    <s v="Corporate Sales Executive"/>
    <n v="43000"/>
    <n v="1791.6666666666667"/>
    <n v="20"/>
    <n v="2"/>
    <n v="1"/>
    <n v="1"/>
    <n v="38520.833333333336"/>
    <n v="5160"/>
    <n v="200"/>
    <n v="0"/>
    <n v="33160.833333333336"/>
  </r>
  <r>
    <x v="17"/>
    <x v="17"/>
    <x v="3"/>
    <s v="Admin Executive"/>
    <n v="27500"/>
    <n v="1145.8333333333333"/>
    <n v="19"/>
    <n v="1"/>
    <n v="1"/>
    <n v="0"/>
    <n v="22916.666666666664"/>
    <n v="3300"/>
    <n v="200"/>
    <n v="0"/>
    <n v="19416.666666666664"/>
  </r>
  <r>
    <x v="18"/>
    <x v="18"/>
    <x v="8"/>
    <s v="Mechanical Technician"/>
    <n v="30500"/>
    <n v="1270.8333333333333"/>
    <n v="22"/>
    <n v="2"/>
    <n v="1"/>
    <n v="1"/>
    <n v="29864.583333333332"/>
    <n v="3660"/>
    <n v="200"/>
    <n v="0"/>
    <n v="26004.583333333332"/>
  </r>
  <r>
    <x v="19"/>
    <x v="19"/>
    <x v="9"/>
    <s v="Recruiter"/>
    <n v="26500"/>
    <n v="1104.1666666666667"/>
    <n v="19"/>
    <n v="1"/>
    <n v="1"/>
    <n v="0"/>
    <n v="22083.333333333336"/>
    <n v="3180"/>
    <n v="200"/>
    <n v="0"/>
    <n v="18703.333333333336"/>
  </r>
  <r>
    <x v="20"/>
    <x v="20"/>
    <x v="1"/>
    <s v="Growth Executive"/>
    <n v="39000"/>
    <n v="1625"/>
    <n v="21"/>
    <n v="2"/>
    <n v="1"/>
    <n v="1"/>
    <n v="36562.5"/>
    <n v="4680"/>
    <n v="200"/>
    <n v="0"/>
    <n v="31682.5"/>
  </r>
  <r>
    <x v="21"/>
    <x v="21"/>
    <x v="1"/>
    <s v="Growth Executive"/>
    <n v="41500"/>
    <n v="1729.1666666666667"/>
    <n v="21"/>
    <n v="2"/>
    <n v="1"/>
    <n v="1"/>
    <n v="38906.25"/>
    <n v="4980"/>
    <n v="200"/>
    <n v="0"/>
    <n v="33726.25"/>
  </r>
  <r>
    <x v="22"/>
    <x v="22"/>
    <x v="2"/>
    <s v="Guest Relations Executive"/>
    <n v="30000"/>
    <n v="1250"/>
    <n v="18"/>
    <n v="2"/>
    <n v="1"/>
    <n v="1"/>
    <n v="24375"/>
    <n v="3600"/>
    <n v="200"/>
    <n v="0"/>
    <n v="20575"/>
  </r>
  <r>
    <x v="23"/>
    <x v="23"/>
    <x v="1"/>
    <s v="Growth Executive"/>
    <n v="35500"/>
    <n v="1479.1666666666667"/>
    <n v="21"/>
    <n v="1"/>
    <n v="1"/>
    <n v="0"/>
    <n v="32541.666666666668"/>
    <n v="4260"/>
    <n v="200"/>
    <n v="0"/>
    <n v="28081.666666666668"/>
  </r>
  <r>
    <x v="24"/>
    <x v="24"/>
    <x v="0"/>
    <s v="Production Supervisor"/>
    <n v="35500"/>
    <n v="1479.1666666666667"/>
    <n v="18"/>
    <n v="2"/>
    <n v="1"/>
    <n v="1"/>
    <n v="28843.75"/>
    <n v="4260"/>
    <n v="200"/>
    <n v="0"/>
    <n v="24383.75"/>
  </r>
  <r>
    <x v="25"/>
    <x v="25"/>
    <x v="6"/>
    <s v="Purchase Executive"/>
    <n v="34000"/>
    <n v="1416.6666666666667"/>
    <n v="19"/>
    <n v="1"/>
    <n v="1"/>
    <n v="0"/>
    <n v="28333.333333333336"/>
    <n v="4080"/>
    <n v="200"/>
    <n v="0"/>
    <n v="24053.333333333336"/>
  </r>
  <r>
    <x v="26"/>
    <x v="26"/>
    <x v="8"/>
    <s v="Electrical Technician"/>
    <n v="29000"/>
    <n v="1208.3333333333333"/>
    <n v="21"/>
    <n v="2"/>
    <n v="1"/>
    <n v="1"/>
    <n v="27187.5"/>
    <n v="3480"/>
    <n v="200"/>
    <n v="0"/>
    <n v="23507.5"/>
  </r>
  <r>
    <x v="27"/>
    <x v="27"/>
    <x v="5"/>
    <s v="Key Account Executive"/>
    <n v="41500"/>
    <n v="1729.1666666666667"/>
    <n v="20"/>
    <n v="1"/>
    <n v="1"/>
    <n v="0"/>
    <n v="36312.5"/>
    <n v="4980"/>
    <n v="200"/>
    <n v="0"/>
    <n v="31132.5"/>
  </r>
  <r>
    <x v="28"/>
    <x v="28"/>
    <x v="4"/>
    <s v="Accountant"/>
    <n v="33500"/>
    <n v="1395.8333333333333"/>
    <n v="22"/>
    <n v="1"/>
    <n v="1"/>
    <n v="0"/>
    <n v="32104.166666666664"/>
    <n v="4020"/>
    <n v="200"/>
    <n v="0"/>
    <n v="27884.166666666664"/>
  </r>
  <r>
    <x v="29"/>
    <x v="29"/>
    <x v="5"/>
    <s v="Senior Sales Executive"/>
    <n v="39000"/>
    <n v="1625"/>
    <n v="22"/>
    <n v="1"/>
    <n v="1"/>
    <n v="0"/>
    <n v="37375"/>
    <n v="4680"/>
    <n v="200"/>
    <n v="0"/>
    <n v="32495"/>
  </r>
  <r>
    <x v="30"/>
    <x v="30"/>
    <x v="10"/>
    <s v="Customer Service Executive"/>
    <n v="28000"/>
    <n v="1166.6666666666667"/>
    <n v="22"/>
    <n v="2"/>
    <n v="1"/>
    <n v="1"/>
    <n v="27416.666666666668"/>
    <n v="3360"/>
    <n v="200"/>
    <n v="0"/>
    <n v="23856.666666666668"/>
  </r>
  <r>
    <x v="31"/>
    <x v="31"/>
    <x v="3"/>
    <s v="Office Administrator"/>
    <n v="31000"/>
    <n v="1291.6666666666667"/>
    <n v="19"/>
    <n v="2"/>
    <n v="1"/>
    <n v="1"/>
    <n v="26479.166666666668"/>
    <n v="3720"/>
    <n v="200"/>
    <n v="0"/>
    <n v="22559.166666666668"/>
  </r>
  <r>
    <x v="32"/>
    <x v="32"/>
    <x v="11"/>
    <s v="Data Entry Executive"/>
    <n v="23500"/>
    <n v="979.16666666666663"/>
    <n v="22"/>
    <n v="1"/>
    <n v="1"/>
    <n v="0"/>
    <n v="22520.833333333332"/>
    <n v="2820"/>
    <n v="200"/>
    <n v="0"/>
    <n v="19500.833333333332"/>
  </r>
  <r>
    <x v="33"/>
    <x v="33"/>
    <x v="7"/>
    <s v="System Administrator"/>
    <n v="36000"/>
    <n v="1500"/>
    <n v="19"/>
    <n v="1"/>
    <n v="1"/>
    <n v="0"/>
    <n v="30000"/>
    <n v="4320"/>
    <n v="200"/>
    <n v="0"/>
    <n v="25480"/>
  </r>
  <r>
    <x v="34"/>
    <x v="34"/>
    <x v="3"/>
    <s v="Admin Manager"/>
    <n v="57000"/>
    <n v="2375"/>
    <n v="21"/>
    <n v="1"/>
    <n v="1"/>
    <n v="0"/>
    <n v="52250"/>
    <n v="6840"/>
    <n v="200"/>
    <n v="0"/>
    <n v="45210"/>
  </r>
  <r>
    <x v="35"/>
    <x v="35"/>
    <x v="1"/>
    <s v="Corporate Sales Executive"/>
    <n v="49500"/>
    <n v="2062.5"/>
    <n v="20"/>
    <n v="1"/>
    <n v="1"/>
    <n v="0"/>
    <n v="43312.5"/>
    <n v="5940"/>
    <n v="200"/>
    <n v="0"/>
    <n v="37172.5"/>
  </r>
  <r>
    <x v="36"/>
    <x v="36"/>
    <x v="6"/>
    <s v="Procurement Manager"/>
    <n v="76000"/>
    <n v="3166.6666666666665"/>
    <n v="18"/>
    <n v="1"/>
    <n v="1"/>
    <n v="0"/>
    <n v="60166.666666666664"/>
    <n v="9120"/>
    <n v="200"/>
    <n v="0"/>
    <n v="50846.666666666664"/>
  </r>
  <r>
    <x v="37"/>
    <x v="37"/>
    <x v="5"/>
    <s v="Key Account Executive"/>
    <n v="45500"/>
    <n v="1895.8333333333333"/>
    <n v="22"/>
    <n v="2"/>
    <n v="1"/>
    <n v="1"/>
    <n v="44552.083333333328"/>
    <n v="5460"/>
    <n v="200"/>
    <n v="0"/>
    <n v="38892.083333333328"/>
  </r>
  <r>
    <x v="38"/>
    <x v="38"/>
    <x v="10"/>
    <s v="CRM Executive"/>
    <n v="27000"/>
    <n v="1125"/>
    <n v="21"/>
    <n v="2"/>
    <n v="1"/>
    <n v="1"/>
    <n v="25312.5"/>
    <n v="3240"/>
    <n v="200"/>
    <n v="0"/>
    <n v="21872.5"/>
  </r>
  <r>
    <x v="39"/>
    <x v="39"/>
    <x v="5"/>
    <s v="Area Sales Executive"/>
    <n v="37000"/>
    <n v="1541.6666666666667"/>
    <n v="14"/>
    <n v="2"/>
    <n v="1"/>
    <n v="1"/>
    <n v="23895.833333333336"/>
    <n v="4440"/>
    <n v="200"/>
    <n v="0"/>
    <n v="19255.833333333336"/>
  </r>
  <r>
    <x v="40"/>
    <x v="40"/>
    <x v="2"/>
    <s v="Guest Relations Executive"/>
    <n v="25500"/>
    <n v="1062.5"/>
    <n v="21"/>
    <n v="2"/>
    <n v="1"/>
    <n v="1"/>
    <n v="23906.25"/>
    <n v="3060"/>
    <n v="200"/>
    <n v="0"/>
    <n v="20646.25"/>
  </r>
  <r>
    <x v="41"/>
    <x v="41"/>
    <x v="4"/>
    <s v="Accounts Manager"/>
    <n v="72000"/>
    <n v="3000"/>
    <n v="22"/>
    <n v="2"/>
    <n v="1"/>
    <n v="1"/>
    <n v="70500"/>
    <n v="8640"/>
    <n v="200"/>
    <n v="0"/>
    <n v="61660"/>
  </r>
  <r>
    <x v="42"/>
    <x v="42"/>
    <x v="0"/>
    <s v="Quality Inspector"/>
    <n v="34000"/>
    <n v="1416.6666666666667"/>
    <n v="21"/>
    <n v="1"/>
    <n v="1"/>
    <n v="0"/>
    <n v="31166.666666666668"/>
    <n v="4080"/>
    <n v="200"/>
    <n v="0"/>
    <n v="26886.666666666668"/>
  </r>
  <r>
    <x v="43"/>
    <x v="43"/>
    <x v="7"/>
    <s v="Network Engineer"/>
    <n v="47500"/>
    <n v="1979.1666666666667"/>
    <n v="21"/>
    <n v="1"/>
    <n v="1"/>
    <n v="0"/>
    <n v="43541.666666666672"/>
    <n v="5700"/>
    <n v="200"/>
    <n v="0"/>
    <n v="37641.666666666672"/>
  </r>
  <r>
    <x v="44"/>
    <x v="44"/>
    <x v="9"/>
    <s v="Recruiter"/>
    <n v="27500"/>
    <n v="1145.8333333333333"/>
    <n v="18"/>
    <n v="2"/>
    <n v="1"/>
    <n v="1"/>
    <n v="22343.75"/>
    <n v="3300"/>
    <n v="200"/>
    <n v="0"/>
    <n v="18843.75"/>
  </r>
  <r>
    <x v="45"/>
    <x v="45"/>
    <x v="0"/>
    <s v="Production Manager"/>
    <n v="64000"/>
    <n v="2666.6666666666665"/>
    <n v="22"/>
    <n v="1"/>
    <n v="1"/>
    <n v="0"/>
    <n v="61333.333333333328"/>
    <n v="7680"/>
    <n v="200"/>
    <n v="0"/>
    <n v="53453.333333333328"/>
  </r>
  <r>
    <x v="46"/>
    <x v="46"/>
    <x v="6"/>
    <s v="Buyer"/>
    <n v="37500"/>
    <n v="1562.5"/>
    <n v="20"/>
    <n v="2"/>
    <n v="1"/>
    <n v="1"/>
    <n v="33593.75"/>
    <n v="4500"/>
    <n v="200"/>
    <n v="0"/>
    <n v="28893.75"/>
  </r>
  <r>
    <x v="47"/>
    <x v="47"/>
    <x v="10"/>
    <s v="Customer Relationship Officer"/>
    <n v="26500"/>
    <n v="1104.1666666666667"/>
    <n v="18"/>
    <n v="2"/>
    <n v="1"/>
    <n v="1"/>
    <n v="21531.25"/>
    <n v="3180"/>
    <n v="200"/>
    <n v="0"/>
    <n v="18151.25"/>
  </r>
  <r>
    <x v="48"/>
    <x v="48"/>
    <x v="2"/>
    <s v="Front Desk Coordinator"/>
    <n v="30000"/>
    <n v="1250"/>
    <n v="19"/>
    <n v="1"/>
    <n v="1"/>
    <n v="0"/>
    <n v="25000"/>
    <n v="3600"/>
    <n v="200"/>
    <n v="0"/>
    <n v="21200"/>
  </r>
  <r>
    <x v="49"/>
    <x v="49"/>
    <x v="4"/>
    <s v="Senior Accountant"/>
    <n v="46000"/>
    <n v="1916.6666666666667"/>
    <n v="21"/>
    <n v="1"/>
    <n v="1"/>
    <n v="0"/>
    <n v="42166.666666666672"/>
    <n v="5520"/>
    <n v="200"/>
    <n v="0"/>
    <n v="36446.666666666672"/>
  </r>
  <r>
    <x v="50"/>
    <x v="50"/>
    <x v="8"/>
    <s v="Maintenance Manager"/>
    <n v="77500"/>
    <n v="3229.1666666666665"/>
    <n v="21"/>
    <n v="2"/>
    <n v="1"/>
    <n v="1"/>
    <n v="72656.25"/>
    <n v="9300"/>
    <n v="200"/>
    <n v="0"/>
    <n v="63156.25"/>
  </r>
  <r>
    <x v="51"/>
    <x v="51"/>
    <x v="9"/>
    <s v="Recruiter"/>
    <n v="24500"/>
    <n v="1020.8333333333334"/>
    <n v="20"/>
    <n v="1"/>
    <n v="1"/>
    <n v="0"/>
    <n v="21437.5"/>
    <n v="2940"/>
    <n v="200"/>
    <n v="0"/>
    <n v="18297.5"/>
  </r>
  <r>
    <x v="52"/>
    <x v="52"/>
    <x v="8"/>
    <s v="Maintenance Manager"/>
    <n v="69500"/>
    <n v="2895.8333333333335"/>
    <n v="18"/>
    <n v="2"/>
    <n v="1"/>
    <n v="1"/>
    <n v="56468.75"/>
    <n v="8340"/>
    <n v="200"/>
    <n v="0"/>
    <n v="47928.75"/>
  </r>
  <r>
    <x v="53"/>
    <x v="53"/>
    <x v="7"/>
    <s v="System Administrator"/>
    <n v="41500"/>
    <n v="1729.1666666666667"/>
    <n v="21"/>
    <n v="2"/>
    <n v="1"/>
    <n v="1"/>
    <n v="38906.25"/>
    <n v="4980"/>
    <n v="200"/>
    <n v="0"/>
    <n v="33726.25"/>
  </r>
  <r>
    <x v="54"/>
    <x v="54"/>
    <x v="7"/>
    <s v="Software Developer"/>
    <n v="41000"/>
    <n v="1708.3333333333333"/>
    <n v="19"/>
    <n v="2"/>
    <n v="1"/>
    <n v="1"/>
    <n v="35020.833333333328"/>
    <n v="4920"/>
    <n v="200"/>
    <n v="0"/>
    <n v="29900.833333333328"/>
  </r>
  <r>
    <x v="55"/>
    <x v="55"/>
    <x v="11"/>
    <s v="Operations Executive"/>
    <n v="35500"/>
    <n v="1479.1666666666667"/>
    <n v="22"/>
    <n v="1"/>
    <n v="1"/>
    <n v="0"/>
    <n v="34020.833333333336"/>
    <n v="4260"/>
    <n v="200"/>
    <n v="0"/>
    <n v="29560.833333333336"/>
  </r>
  <r>
    <x v="56"/>
    <x v="56"/>
    <x v="0"/>
    <s v="Production Executive"/>
    <n v="22000"/>
    <n v="916.66666666666663"/>
    <n v="19"/>
    <n v="1"/>
    <n v="1"/>
    <n v="0"/>
    <n v="18333.333333333332"/>
    <n v="2640"/>
    <n v="0"/>
    <n v="137.5"/>
    <n v="15555.833333333332"/>
  </r>
  <r>
    <x v="57"/>
    <x v="57"/>
    <x v="8"/>
    <s v="Maintenance Manager"/>
    <n v="74500"/>
    <n v="3104.1666666666665"/>
    <n v="22"/>
    <n v="2"/>
    <n v="1"/>
    <n v="1"/>
    <n v="72947.916666666657"/>
    <n v="8940"/>
    <n v="200"/>
    <n v="0"/>
    <n v="63807.916666666657"/>
  </r>
  <r>
    <x v="58"/>
    <x v="58"/>
    <x v="6"/>
    <s v="Buyer"/>
    <n v="43500"/>
    <n v="1812.5"/>
    <n v="18"/>
    <n v="2"/>
    <n v="1"/>
    <n v="1"/>
    <n v="35343.75"/>
    <n v="5220"/>
    <n v="200"/>
    <n v="0"/>
    <n v="29923.75"/>
  </r>
  <r>
    <x v="59"/>
    <x v="59"/>
    <x v="5"/>
    <s v="Key Account Executive"/>
    <n v="35500"/>
    <n v="1479.1666666666667"/>
    <n v="21"/>
    <n v="2"/>
    <n v="1"/>
    <n v="1"/>
    <n v="33281.25"/>
    <n v="4260"/>
    <n v="200"/>
    <n v="0"/>
    <n v="28821.25"/>
  </r>
  <r>
    <x v="60"/>
    <x v="60"/>
    <x v="8"/>
    <s v="Mechanical Technician"/>
    <n v="34000"/>
    <n v="1416.6666666666667"/>
    <n v="18"/>
    <n v="2"/>
    <n v="1"/>
    <n v="1"/>
    <n v="27625"/>
    <n v="4080"/>
    <n v="200"/>
    <n v="0"/>
    <n v="23345"/>
  </r>
  <r>
    <x v="61"/>
    <x v="61"/>
    <x v="11"/>
    <s v="Documentation Executive"/>
    <n v="22000"/>
    <n v="916.66666666666663"/>
    <n v="18"/>
    <n v="2"/>
    <n v="1"/>
    <n v="1"/>
    <n v="17875"/>
    <n v="2640"/>
    <n v="0"/>
    <n v="134.0625"/>
    <n v="15100.9375"/>
  </r>
  <r>
    <x v="62"/>
    <x v="62"/>
    <x v="8"/>
    <s v="Electrical Technician"/>
    <n v="26000"/>
    <n v="1083.3333333333333"/>
    <n v="19"/>
    <n v="1"/>
    <n v="1"/>
    <n v="0"/>
    <n v="21666.666666666664"/>
    <n v="3120"/>
    <n v="200"/>
    <n v="0"/>
    <n v="18346.666666666664"/>
  </r>
  <r>
    <x v="63"/>
    <x v="63"/>
    <x v="8"/>
    <s v="Maintenance Manager"/>
    <n v="79500"/>
    <n v="3312.5"/>
    <n v="21"/>
    <n v="1"/>
    <n v="1"/>
    <n v="0"/>
    <n v="72875"/>
    <n v="9540"/>
    <n v="200"/>
    <n v="0"/>
    <n v="63135"/>
  </r>
  <r>
    <x v="64"/>
    <x v="64"/>
    <x v="8"/>
    <s v="Maintenance Manager"/>
    <n v="82000"/>
    <n v="3416.6666666666665"/>
    <n v="20"/>
    <n v="1"/>
    <n v="1"/>
    <n v="0"/>
    <n v="71750"/>
    <n v="9840"/>
    <n v="200"/>
    <n v="0"/>
    <n v="61710"/>
  </r>
  <r>
    <x v="65"/>
    <x v="65"/>
    <x v="2"/>
    <s v="Receptionist"/>
    <n v="25000"/>
    <n v="1041.6666666666667"/>
    <n v="18"/>
    <n v="2"/>
    <n v="1"/>
    <n v="1"/>
    <n v="20312.5"/>
    <n v="3000"/>
    <n v="0"/>
    <n v="152.34375"/>
    <n v="17160.15625"/>
  </r>
  <r>
    <x v="66"/>
    <x v="66"/>
    <x v="4"/>
    <s v="Finance Executive"/>
    <n v="40000"/>
    <n v="1666.6666666666667"/>
    <n v="19"/>
    <n v="2"/>
    <n v="1"/>
    <n v="1"/>
    <n v="34166.666666666672"/>
    <n v="4800"/>
    <n v="200"/>
    <n v="0"/>
    <n v="29166.666666666672"/>
  </r>
  <r>
    <x v="67"/>
    <x v="67"/>
    <x v="9"/>
    <s v="HR Manager"/>
    <n v="79000"/>
    <n v="3291.6666666666665"/>
    <n v="22"/>
    <n v="1"/>
    <n v="1"/>
    <n v="0"/>
    <n v="75708.333333333328"/>
    <n v="9480"/>
    <n v="200"/>
    <n v="0"/>
    <n v="66028.333333333328"/>
  </r>
  <r>
    <x v="68"/>
    <x v="68"/>
    <x v="4"/>
    <s v="Accounts Manager"/>
    <n v="87500"/>
    <n v="3645.8333333333335"/>
    <n v="22"/>
    <n v="1"/>
    <n v="1"/>
    <n v="0"/>
    <n v="83854.166666666672"/>
    <n v="10500"/>
    <n v="200"/>
    <n v="0"/>
    <n v="73154.166666666672"/>
  </r>
  <r>
    <x v="69"/>
    <x v="69"/>
    <x v="4"/>
    <s v="Accounts Manager"/>
    <n v="62000"/>
    <n v="2583.3333333333335"/>
    <n v="21"/>
    <n v="2"/>
    <n v="1"/>
    <n v="1"/>
    <n v="58125"/>
    <n v="7440"/>
    <n v="200"/>
    <n v="0"/>
    <n v="50485"/>
  </r>
  <r>
    <x v="70"/>
    <x v="70"/>
    <x v="0"/>
    <s v="Production Executive"/>
    <n v="27500"/>
    <n v="1145.8333333333333"/>
    <n v="21"/>
    <n v="1"/>
    <n v="1"/>
    <n v="0"/>
    <n v="25208.333333333332"/>
    <n v="3300"/>
    <n v="200"/>
    <n v="0"/>
    <n v="21708.333333333332"/>
  </r>
  <r>
    <x v="71"/>
    <x v="71"/>
    <x v="4"/>
    <s v="Finance Executive"/>
    <n v="36000"/>
    <n v="1500"/>
    <n v="21"/>
    <n v="1"/>
    <n v="1"/>
    <n v="0"/>
    <n v="33000"/>
    <n v="4320"/>
    <n v="200"/>
    <n v="0"/>
    <n v="28480"/>
  </r>
  <r>
    <x v="72"/>
    <x v="72"/>
    <x v="1"/>
    <s v="Senior Business Development Executive"/>
    <n v="42500"/>
    <n v="1770.8333333333333"/>
    <n v="20"/>
    <n v="2"/>
    <n v="1"/>
    <n v="1"/>
    <n v="38072.916666666664"/>
    <n v="5100"/>
    <n v="200"/>
    <n v="0"/>
    <n v="32772.916666666664"/>
  </r>
  <r>
    <x v="73"/>
    <x v="73"/>
    <x v="3"/>
    <s v="Facility Executive"/>
    <n v="28000"/>
    <n v="1166.6666666666667"/>
    <n v="22"/>
    <n v="1"/>
    <n v="1"/>
    <n v="0"/>
    <n v="26833.333333333336"/>
    <n v="3360"/>
    <n v="200"/>
    <n v="0"/>
    <n v="23273.333333333336"/>
  </r>
  <r>
    <x v="74"/>
    <x v="74"/>
    <x v="8"/>
    <s v="Maintenance Engineer"/>
    <n v="46500"/>
    <n v="1937.5"/>
    <n v="21"/>
    <n v="1"/>
    <n v="1"/>
    <n v="0"/>
    <n v="42625"/>
    <n v="5580"/>
    <n v="200"/>
    <n v="0"/>
    <n v="36845"/>
  </r>
  <r>
    <x v="75"/>
    <x v="75"/>
    <x v="4"/>
    <s v="Accountant"/>
    <n v="29500"/>
    <n v="1229.1666666666667"/>
    <n v="18"/>
    <n v="1"/>
    <n v="1"/>
    <n v="0"/>
    <n v="23354.166666666668"/>
    <n v="3540"/>
    <n v="200"/>
    <n v="0"/>
    <n v="19614.166666666668"/>
  </r>
  <r>
    <x v="76"/>
    <x v="76"/>
    <x v="8"/>
    <s v="Mechanical Technician"/>
    <n v="29500"/>
    <n v="1229.1666666666667"/>
    <n v="21"/>
    <n v="2"/>
    <n v="1"/>
    <n v="1"/>
    <n v="27656.25"/>
    <n v="3540"/>
    <n v="200"/>
    <n v="0"/>
    <n v="23916.25"/>
  </r>
  <r>
    <x v="77"/>
    <x v="77"/>
    <x v="1"/>
    <s v="Growth Executive"/>
    <n v="40500"/>
    <n v="1687.5"/>
    <n v="18"/>
    <n v="2"/>
    <n v="1"/>
    <n v="1"/>
    <n v="32906.25"/>
    <n v="4860"/>
    <n v="200"/>
    <n v="0"/>
    <n v="27846.25"/>
  </r>
  <r>
    <x v="78"/>
    <x v="78"/>
    <x v="2"/>
    <s v="Guest Relations Executive"/>
    <n v="32500"/>
    <n v="1354.1666666666667"/>
    <n v="18"/>
    <n v="2"/>
    <n v="1"/>
    <n v="1"/>
    <n v="26406.25"/>
    <n v="3900"/>
    <n v="200"/>
    <n v="0"/>
    <n v="22306.25"/>
  </r>
  <r>
    <x v="79"/>
    <x v="79"/>
    <x v="1"/>
    <s v="Business Development Manager"/>
    <n v="64500"/>
    <n v="2687.5"/>
    <n v="20"/>
    <n v="1"/>
    <n v="1"/>
    <n v="0"/>
    <n v="56437.5"/>
    <n v="7740"/>
    <n v="200"/>
    <n v="0"/>
    <n v="48497.5"/>
  </r>
  <r>
    <x v="80"/>
    <x v="80"/>
    <x v="7"/>
    <s v="IT Manager"/>
    <n v="92500"/>
    <n v="3854.1666666666665"/>
    <n v="19"/>
    <n v="1"/>
    <n v="1"/>
    <n v="0"/>
    <n v="77083.333333333328"/>
    <n v="11100"/>
    <n v="200"/>
    <n v="0"/>
    <n v="65783.333333333328"/>
  </r>
  <r>
    <x v="81"/>
    <x v="81"/>
    <x v="10"/>
    <s v="Customer Success Executive"/>
    <n v="42000"/>
    <n v="1750"/>
    <n v="19"/>
    <n v="2"/>
    <n v="1"/>
    <n v="1"/>
    <n v="35875"/>
    <n v="5040"/>
    <n v="200"/>
    <n v="0"/>
    <n v="30635"/>
  </r>
  <r>
    <x v="82"/>
    <x v="82"/>
    <x v="0"/>
    <s v="Production Manager"/>
    <n v="55500"/>
    <n v="2312.5"/>
    <n v="22"/>
    <n v="1"/>
    <n v="1"/>
    <n v="0"/>
    <n v="53187.5"/>
    <n v="6660"/>
    <n v="200"/>
    <n v="0"/>
    <n v="46327.5"/>
  </r>
  <r>
    <x v="83"/>
    <x v="83"/>
    <x v="1"/>
    <s v="Senior Business Development Executive"/>
    <n v="49000"/>
    <n v="2041.6666666666667"/>
    <n v="22"/>
    <n v="2"/>
    <n v="1"/>
    <n v="1"/>
    <n v="47979.166666666672"/>
    <n v="5880"/>
    <n v="200"/>
    <n v="0"/>
    <n v="41899.166666666672"/>
  </r>
  <r>
    <x v="84"/>
    <x v="84"/>
    <x v="9"/>
    <s v="HR Manager"/>
    <n v="70500"/>
    <n v="2937.5"/>
    <n v="21"/>
    <n v="1"/>
    <n v="1"/>
    <n v="0"/>
    <n v="64625"/>
    <n v="8460"/>
    <n v="200"/>
    <n v="0"/>
    <n v="55965"/>
  </r>
  <r>
    <x v="85"/>
    <x v="85"/>
    <x v="8"/>
    <s v="Electrical Technician"/>
    <n v="33000"/>
    <n v="1375"/>
    <n v="22"/>
    <n v="1"/>
    <n v="1"/>
    <n v="0"/>
    <n v="31625"/>
    <n v="3960"/>
    <n v="200"/>
    <n v="0"/>
    <n v="27465"/>
  </r>
  <r>
    <x v="86"/>
    <x v="86"/>
    <x v="8"/>
    <s v="Maintenance Manager"/>
    <n v="65500"/>
    <n v="2729.1666666666665"/>
    <n v="22"/>
    <n v="1"/>
    <n v="1"/>
    <n v="0"/>
    <n v="62770.833333333328"/>
    <n v="7860"/>
    <n v="200"/>
    <n v="0"/>
    <n v="54710.833333333328"/>
  </r>
  <r>
    <x v="87"/>
    <x v="87"/>
    <x v="5"/>
    <s v="Senior Sales Executive"/>
    <n v="43500"/>
    <n v="1812.5"/>
    <n v="22"/>
    <n v="2"/>
    <n v="1"/>
    <n v="1"/>
    <n v="42593.75"/>
    <n v="5220"/>
    <n v="200"/>
    <n v="0"/>
    <n v="37173.75"/>
  </r>
  <r>
    <x v="88"/>
    <x v="88"/>
    <x v="8"/>
    <s v="Maintenance Manager"/>
    <n v="72500"/>
    <n v="3020.8333333333335"/>
    <n v="21"/>
    <n v="2"/>
    <n v="1"/>
    <n v="1"/>
    <n v="67968.75"/>
    <n v="8700"/>
    <n v="200"/>
    <n v="0"/>
    <n v="59068.75"/>
  </r>
  <r>
    <x v="89"/>
    <x v="89"/>
    <x v="5"/>
    <s v="Area Sales Executive"/>
    <n v="32500"/>
    <n v="1354.1666666666667"/>
    <n v="18"/>
    <n v="2"/>
    <n v="1"/>
    <n v="1"/>
    <n v="26406.25"/>
    <n v="3900"/>
    <n v="200"/>
    <n v="0"/>
    <n v="22306.25"/>
  </r>
  <r>
    <x v="90"/>
    <x v="90"/>
    <x v="0"/>
    <s v="Production Manager"/>
    <n v="57000"/>
    <n v="2375"/>
    <n v="19"/>
    <n v="1"/>
    <n v="1"/>
    <n v="0"/>
    <n v="47500"/>
    <n v="6840"/>
    <n v="200"/>
    <n v="0"/>
    <n v="40460"/>
  </r>
  <r>
    <x v="91"/>
    <x v="91"/>
    <x v="11"/>
    <s v="Data Entry Executive"/>
    <n v="21500"/>
    <n v="895.83333333333337"/>
    <n v="21"/>
    <n v="2"/>
    <n v="1"/>
    <n v="1"/>
    <n v="20156.25"/>
    <n v="2580"/>
    <n v="0"/>
    <n v="151.171875"/>
    <n v="17425.078125"/>
  </r>
  <r>
    <x v="92"/>
    <x v="92"/>
    <x v="4"/>
    <s v="Accounts Manager"/>
    <n v="90000"/>
    <n v="3750"/>
    <n v="22"/>
    <n v="2"/>
    <n v="1"/>
    <n v="1"/>
    <n v="88125"/>
    <n v="10800"/>
    <n v="200"/>
    <n v="0"/>
    <n v="77125"/>
  </r>
  <r>
    <x v="93"/>
    <x v="93"/>
    <x v="5"/>
    <s v="Sales Executive"/>
    <n v="27500"/>
    <n v="1145.8333333333333"/>
    <n v="18"/>
    <n v="2"/>
    <n v="1"/>
    <n v="1"/>
    <n v="22343.75"/>
    <n v="3300"/>
    <n v="200"/>
    <n v="0"/>
    <n v="18843.75"/>
  </r>
  <r>
    <x v="94"/>
    <x v="94"/>
    <x v="10"/>
    <s v="Customer Success Executive"/>
    <n v="35500"/>
    <n v="1479.1666666666667"/>
    <n v="19"/>
    <n v="1"/>
    <n v="1"/>
    <n v="0"/>
    <n v="29583.333333333336"/>
    <n v="4260"/>
    <n v="200"/>
    <n v="0"/>
    <n v="25123.333333333336"/>
  </r>
  <r>
    <x v="95"/>
    <x v="95"/>
    <x v="7"/>
    <s v="IT Support Engineer"/>
    <n v="32500"/>
    <n v="1354.1666666666667"/>
    <n v="21"/>
    <n v="1"/>
    <n v="1"/>
    <n v="0"/>
    <n v="29791.666666666668"/>
    <n v="3900"/>
    <n v="200"/>
    <n v="0"/>
    <n v="25691.666666666668"/>
  </r>
  <r>
    <x v="96"/>
    <x v="96"/>
    <x v="3"/>
    <s v="Office Coordinator"/>
    <n v="24000"/>
    <n v="1000"/>
    <n v="20"/>
    <n v="2"/>
    <n v="1"/>
    <n v="1"/>
    <n v="21500"/>
    <n v="2880"/>
    <n v="200"/>
    <n v="0"/>
    <n v="18420"/>
  </r>
  <r>
    <x v="97"/>
    <x v="97"/>
    <x v="10"/>
    <s v="Customer Success Executive"/>
    <n v="39000"/>
    <n v="1625"/>
    <n v="20"/>
    <n v="1"/>
    <n v="1"/>
    <n v="0"/>
    <n v="34125"/>
    <n v="4680"/>
    <n v="200"/>
    <n v="0"/>
    <n v="29245"/>
  </r>
  <r>
    <x v="98"/>
    <x v="98"/>
    <x v="4"/>
    <s v="Accounts Manager"/>
    <n v="63500"/>
    <n v="2645.8333333333335"/>
    <n v="12"/>
    <n v="2"/>
    <n v="1"/>
    <n v="1"/>
    <n v="35718.75"/>
    <n v="7620"/>
    <n v="200"/>
    <n v="0"/>
    <n v="27898.75"/>
  </r>
  <r>
    <x v="99"/>
    <x v="99"/>
    <x v="1"/>
    <s v="Growth Executive"/>
    <n v="44500"/>
    <n v="1854.1666666666667"/>
    <n v="20"/>
    <n v="1"/>
    <n v="1"/>
    <n v="0"/>
    <n v="38937.5"/>
    <n v="5340"/>
    <n v="200"/>
    <n v="0"/>
    <n v="33397.5"/>
  </r>
  <r>
    <x v="100"/>
    <x v="100"/>
    <x v="1"/>
    <s v="Growth Executive"/>
    <n v="30000"/>
    <n v="1250"/>
    <n v="21"/>
    <n v="1"/>
    <n v="1"/>
    <n v="0"/>
    <n v="27500"/>
    <n v="3600"/>
    <n v="200"/>
    <n v="0"/>
    <n v="23700"/>
  </r>
  <r>
    <x v="101"/>
    <x v="101"/>
    <x v="10"/>
    <s v="Customer Success Executive"/>
    <n v="30000"/>
    <n v="1250"/>
    <n v="19"/>
    <n v="1"/>
    <n v="1"/>
    <n v="0"/>
    <n v="25000"/>
    <n v="3600"/>
    <n v="200"/>
    <n v="0"/>
    <n v="21200"/>
  </r>
  <r>
    <x v="102"/>
    <x v="102"/>
    <x v="6"/>
    <s v="Procurement Manager"/>
    <n v="71500"/>
    <n v="2979.1666666666665"/>
    <n v="20"/>
    <n v="1"/>
    <n v="1"/>
    <n v="0"/>
    <n v="62562.5"/>
    <n v="8580"/>
    <n v="200"/>
    <n v="0"/>
    <n v="53782.5"/>
  </r>
  <r>
    <x v="103"/>
    <x v="103"/>
    <x v="5"/>
    <s v="Sales Manager"/>
    <n v="53500"/>
    <n v="2229.1666666666665"/>
    <n v="20"/>
    <n v="1"/>
    <n v="1"/>
    <n v="0"/>
    <n v="46812.5"/>
    <n v="6420"/>
    <n v="200"/>
    <n v="0"/>
    <n v="40192.5"/>
  </r>
  <r>
    <x v="104"/>
    <x v="104"/>
    <x v="4"/>
    <s v="Senior Accountant"/>
    <n v="53500"/>
    <n v="2229.1666666666665"/>
    <n v="18"/>
    <n v="2"/>
    <n v="1"/>
    <n v="1"/>
    <n v="43468.75"/>
    <n v="6420"/>
    <n v="200"/>
    <n v="0"/>
    <n v="36848.75"/>
  </r>
  <r>
    <x v="105"/>
    <x v="105"/>
    <x v="7"/>
    <s v="Network Engineer"/>
    <n v="36500"/>
    <n v="1520.8333333333333"/>
    <n v="20"/>
    <n v="2"/>
    <n v="1"/>
    <n v="1"/>
    <n v="32697.916666666664"/>
    <n v="4380"/>
    <n v="200"/>
    <n v="0"/>
    <n v="28117.916666666664"/>
  </r>
  <r>
    <x v="106"/>
    <x v="106"/>
    <x v="5"/>
    <s v="Sales Manager"/>
    <n v="59000"/>
    <n v="2458.3333333333335"/>
    <n v="21"/>
    <n v="2"/>
    <n v="1"/>
    <n v="1"/>
    <n v="55312.5"/>
    <n v="7080"/>
    <n v="200"/>
    <n v="0"/>
    <n v="48032.5"/>
  </r>
  <r>
    <x v="107"/>
    <x v="107"/>
    <x v="3"/>
    <s v="Office Coordinator"/>
    <n v="28000"/>
    <n v="1166.6666666666667"/>
    <n v="21"/>
    <n v="1"/>
    <n v="1"/>
    <n v="0"/>
    <n v="25666.666666666668"/>
    <n v="3360"/>
    <n v="200"/>
    <n v="0"/>
    <n v="22106.666666666668"/>
  </r>
  <r>
    <x v="108"/>
    <x v="108"/>
    <x v="0"/>
    <s v="Production Manager"/>
    <n v="76500"/>
    <n v="3187.5"/>
    <n v="20"/>
    <n v="2"/>
    <n v="1"/>
    <n v="1"/>
    <n v="68531.25"/>
    <n v="9180"/>
    <n v="200"/>
    <n v="0"/>
    <n v="59151.25"/>
  </r>
  <r>
    <x v="109"/>
    <x v="109"/>
    <x v="0"/>
    <s v="Production Manager"/>
    <n v="61500"/>
    <n v="2562.5"/>
    <n v="19"/>
    <n v="2"/>
    <n v="1"/>
    <n v="1"/>
    <n v="52531.25"/>
    <n v="7380"/>
    <n v="200"/>
    <n v="0"/>
    <n v="44951.25"/>
  </r>
  <r>
    <x v="110"/>
    <x v="110"/>
    <x v="0"/>
    <s v="Production Supervisor"/>
    <n v="43000"/>
    <n v="1791.6666666666667"/>
    <n v="19"/>
    <n v="1"/>
    <n v="1"/>
    <n v="0"/>
    <n v="35833.333333333336"/>
    <n v="5160"/>
    <n v="200"/>
    <n v="0"/>
    <n v="30473.333333333336"/>
  </r>
  <r>
    <x v="111"/>
    <x v="111"/>
    <x v="3"/>
    <s v="Facility Executive"/>
    <n v="30500"/>
    <n v="1270.8333333333333"/>
    <n v="19"/>
    <n v="2"/>
    <n v="1"/>
    <n v="1"/>
    <n v="26052.083333333332"/>
    <n v="3660"/>
    <n v="200"/>
    <n v="0"/>
    <n v="22192.083333333332"/>
  </r>
  <r>
    <x v="112"/>
    <x v="112"/>
    <x v="8"/>
    <s v="Mechanical Technician"/>
    <n v="26000"/>
    <n v="1083.3333333333333"/>
    <n v="19"/>
    <n v="2"/>
    <n v="1"/>
    <n v="1"/>
    <n v="22208.333333333332"/>
    <n v="3120"/>
    <n v="200"/>
    <n v="0"/>
    <n v="18888.333333333332"/>
  </r>
  <r>
    <x v="113"/>
    <x v="113"/>
    <x v="11"/>
    <s v="Operations Manager"/>
    <n v="60000"/>
    <n v="2500"/>
    <n v="19"/>
    <n v="2"/>
    <n v="1"/>
    <n v="1"/>
    <n v="51250"/>
    <n v="7200"/>
    <n v="200"/>
    <n v="0"/>
    <n v="43850"/>
  </r>
  <r>
    <x v="114"/>
    <x v="114"/>
    <x v="9"/>
    <s v="Recruiter"/>
    <n v="23500"/>
    <n v="979.16666666666663"/>
    <n v="21"/>
    <n v="1"/>
    <n v="1"/>
    <n v="0"/>
    <n v="21541.666666666664"/>
    <n v="2820"/>
    <n v="200"/>
    <n v="0"/>
    <n v="18521.666666666664"/>
  </r>
  <r>
    <x v="115"/>
    <x v="115"/>
    <x v="9"/>
    <s v="Senior HR Executive"/>
    <n v="35000"/>
    <n v="1458.3333333333333"/>
    <n v="21"/>
    <n v="2"/>
    <n v="1"/>
    <n v="1"/>
    <n v="32812.5"/>
    <n v="4200"/>
    <n v="200"/>
    <n v="0"/>
    <n v="28412.5"/>
  </r>
  <r>
    <x v="116"/>
    <x v="116"/>
    <x v="1"/>
    <s v="Senior Business Development Executive"/>
    <n v="38000"/>
    <n v="1583.3333333333333"/>
    <n v="21"/>
    <n v="1"/>
    <n v="1"/>
    <n v="0"/>
    <n v="34833.333333333328"/>
    <n v="4560"/>
    <n v="200"/>
    <n v="0"/>
    <n v="30073.333333333328"/>
  </r>
  <r>
    <x v="117"/>
    <x v="117"/>
    <x v="4"/>
    <s v="Senior Accountant"/>
    <n v="55000"/>
    <n v="2291.6666666666665"/>
    <n v="21"/>
    <n v="1"/>
    <n v="1"/>
    <n v="0"/>
    <n v="50416.666666666664"/>
    <n v="6600"/>
    <n v="200"/>
    <n v="0"/>
    <n v="43616.666666666664"/>
  </r>
  <r>
    <x v="118"/>
    <x v="118"/>
    <x v="10"/>
    <s v="Customer Relationship Officer"/>
    <n v="32500"/>
    <n v="1354.1666666666667"/>
    <n v="20"/>
    <n v="2"/>
    <n v="1"/>
    <n v="1"/>
    <n v="29114.583333333336"/>
    <n v="3900"/>
    <n v="200"/>
    <n v="0"/>
    <n v="25014.583333333336"/>
  </r>
  <r>
    <x v="119"/>
    <x v="119"/>
    <x v="11"/>
    <s v="Documentation Executive"/>
    <n v="24000"/>
    <n v="1000"/>
    <n v="18"/>
    <n v="2"/>
    <n v="1"/>
    <n v="1"/>
    <n v="19500"/>
    <n v="2880"/>
    <n v="0"/>
    <n v="146.25"/>
    <n v="16473.75"/>
  </r>
  <r>
    <x v="120"/>
    <x v="120"/>
    <x v="7"/>
    <s v="Software Developer"/>
    <n v="63500"/>
    <n v="2645.8333333333335"/>
    <n v="19"/>
    <n v="2"/>
    <n v="1"/>
    <n v="1"/>
    <n v="54239.583333333336"/>
    <n v="7620"/>
    <n v="200"/>
    <n v="0"/>
    <n v="46419.583333333336"/>
  </r>
  <r>
    <x v="121"/>
    <x v="121"/>
    <x v="2"/>
    <s v="Front Office Executive"/>
    <n v="30000"/>
    <n v="1250"/>
    <n v="19"/>
    <n v="1"/>
    <n v="1"/>
    <n v="0"/>
    <n v="25000"/>
    <n v="3600"/>
    <n v="200"/>
    <n v="0"/>
    <n v="21200"/>
  </r>
  <r>
    <x v="122"/>
    <x v="122"/>
    <x v="2"/>
    <s v="Front Office Manager"/>
    <n v="45500"/>
    <n v="1895.8333333333333"/>
    <n v="20"/>
    <n v="2"/>
    <n v="1"/>
    <n v="1"/>
    <n v="40760.416666666664"/>
    <n v="5460"/>
    <n v="200"/>
    <n v="0"/>
    <n v="35100.416666666664"/>
  </r>
  <r>
    <x v="123"/>
    <x v="123"/>
    <x v="11"/>
    <s v="Documentation Executive"/>
    <n v="24000"/>
    <n v="1000"/>
    <n v="22"/>
    <n v="2"/>
    <n v="1"/>
    <n v="1"/>
    <n v="23500"/>
    <n v="2880"/>
    <n v="200"/>
    <n v="0"/>
    <n v="20420"/>
  </r>
  <r>
    <x v="124"/>
    <x v="124"/>
    <x v="9"/>
    <s v="Payroll Executive"/>
    <n v="29000"/>
    <n v="1208.3333333333333"/>
    <n v="21"/>
    <n v="1"/>
    <n v="1"/>
    <n v="0"/>
    <n v="26583.333333333332"/>
    <n v="3480"/>
    <n v="200"/>
    <n v="0"/>
    <n v="22903.333333333332"/>
  </r>
  <r>
    <x v="125"/>
    <x v="125"/>
    <x v="6"/>
    <s v="Sourcing Executive"/>
    <n v="33000"/>
    <n v="1375"/>
    <n v="21"/>
    <n v="2"/>
    <n v="1"/>
    <n v="1"/>
    <n v="30937.5"/>
    <n v="3960"/>
    <n v="200"/>
    <n v="0"/>
    <n v="26777.5"/>
  </r>
  <r>
    <x v="126"/>
    <x v="126"/>
    <x v="4"/>
    <s v="Accounts Manager"/>
    <n v="65000"/>
    <n v="2708.3333333333335"/>
    <n v="22"/>
    <n v="2"/>
    <n v="1"/>
    <n v="1"/>
    <n v="63645.833333333336"/>
    <n v="7800"/>
    <n v="200"/>
    <n v="0"/>
    <n v="55645.833333333336"/>
  </r>
  <r>
    <x v="127"/>
    <x v="127"/>
    <x v="10"/>
    <s v="Customer Success Executive"/>
    <n v="38000"/>
    <n v="1583.3333333333333"/>
    <n v="20"/>
    <n v="2"/>
    <n v="1"/>
    <n v="1"/>
    <n v="34041.666666666664"/>
    <n v="4560"/>
    <n v="200"/>
    <n v="0"/>
    <n v="29281.666666666664"/>
  </r>
  <r>
    <x v="128"/>
    <x v="128"/>
    <x v="4"/>
    <s v="Finance Executive"/>
    <n v="31500"/>
    <n v="1312.5"/>
    <n v="19"/>
    <n v="1"/>
    <n v="1"/>
    <n v="0"/>
    <n v="26250"/>
    <n v="3780"/>
    <n v="200"/>
    <n v="0"/>
    <n v="22270"/>
  </r>
  <r>
    <x v="129"/>
    <x v="129"/>
    <x v="8"/>
    <s v="Maintenance Manager"/>
    <n v="84500"/>
    <n v="3520.8333333333335"/>
    <n v="21"/>
    <n v="2"/>
    <n v="1"/>
    <n v="1"/>
    <n v="79218.75"/>
    <n v="10140"/>
    <n v="200"/>
    <n v="0"/>
    <n v="68878.75"/>
  </r>
  <r>
    <x v="130"/>
    <x v="130"/>
    <x v="5"/>
    <s v="Senior Sales Executive"/>
    <n v="36000"/>
    <n v="1500"/>
    <n v="22"/>
    <n v="1"/>
    <n v="1"/>
    <n v="0"/>
    <n v="34500"/>
    <n v="4320"/>
    <n v="200"/>
    <n v="0"/>
    <n v="29980"/>
  </r>
  <r>
    <x v="131"/>
    <x v="131"/>
    <x v="1"/>
    <s v="Business Development Manager"/>
    <n v="55500"/>
    <n v="2312.5"/>
    <n v="19"/>
    <n v="2"/>
    <n v="1"/>
    <n v="1"/>
    <n v="47406.25"/>
    <n v="6660"/>
    <n v="200"/>
    <n v="0"/>
    <n v="40546.25"/>
  </r>
  <r>
    <x v="132"/>
    <x v="132"/>
    <x v="8"/>
    <s v="Mechanical Technician"/>
    <n v="28500"/>
    <n v="1187.5"/>
    <n v="21"/>
    <n v="2"/>
    <n v="1"/>
    <n v="1"/>
    <n v="26718.75"/>
    <n v="3420"/>
    <n v="200"/>
    <n v="0"/>
    <n v="23098.75"/>
  </r>
  <r>
    <x v="133"/>
    <x v="133"/>
    <x v="2"/>
    <s v="Front Office Executive"/>
    <n v="26000"/>
    <n v="1083.3333333333333"/>
    <n v="22"/>
    <n v="1"/>
    <n v="1"/>
    <n v="0"/>
    <n v="24916.666666666664"/>
    <n v="3120"/>
    <n v="200"/>
    <n v="0"/>
    <n v="21596.666666666664"/>
  </r>
  <r>
    <x v="134"/>
    <x v="134"/>
    <x v="6"/>
    <s v="Purchase Executive"/>
    <n v="33500"/>
    <n v="1395.8333333333333"/>
    <n v="19"/>
    <n v="2"/>
    <n v="1"/>
    <n v="1"/>
    <n v="28614.583333333332"/>
    <n v="4020"/>
    <n v="200"/>
    <n v="0"/>
    <n v="24394.583333333332"/>
  </r>
  <r>
    <x v="135"/>
    <x v="135"/>
    <x v="1"/>
    <s v="Business Development Manager"/>
    <n v="68500"/>
    <n v="2854.1666666666665"/>
    <n v="18"/>
    <n v="1"/>
    <n v="1"/>
    <n v="0"/>
    <n v="54229.166666666664"/>
    <n v="8220"/>
    <n v="200"/>
    <n v="0"/>
    <n v="45809.166666666664"/>
  </r>
  <r>
    <x v="136"/>
    <x v="136"/>
    <x v="11"/>
    <s v="Operations Manager"/>
    <n v="66500"/>
    <n v="2770.8333333333335"/>
    <n v="18"/>
    <n v="2"/>
    <n v="1"/>
    <n v="1"/>
    <n v="54031.25"/>
    <n v="7980"/>
    <n v="200"/>
    <n v="0"/>
    <n v="45851.25"/>
  </r>
  <r>
    <x v="137"/>
    <x v="137"/>
    <x v="5"/>
    <s v="Area Sales Executive"/>
    <n v="31000"/>
    <n v="1291.6666666666667"/>
    <n v="21"/>
    <n v="2"/>
    <n v="1"/>
    <n v="1"/>
    <n v="29062.5"/>
    <n v="3720"/>
    <n v="200"/>
    <n v="0"/>
    <n v="25142.5"/>
  </r>
  <r>
    <x v="138"/>
    <x v="138"/>
    <x v="2"/>
    <s v="Front Office Executive"/>
    <n v="24000"/>
    <n v="1000"/>
    <n v="20"/>
    <n v="1"/>
    <n v="1"/>
    <n v="0"/>
    <n v="21000"/>
    <n v="2880"/>
    <n v="200"/>
    <n v="157.5"/>
    <n v="17762.5"/>
  </r>
  <r>
    <x v="139"/>
    <x v="139"/>
    <x v="1"/>
    <s v="Corporate Sales Executive"/>
    <n v="44000"/>
    <n v="1833.3333333333333"/>
    <n v="15"/>
    <n v="2"/>
    <n v="1"/>
    <n v="1"/>
    <n v="30250"/>
    <n v="5280"/>
    <n v="200"/>
    <n v="0"/>
    <n v="24770"/>
  </r>
  <r>
    <x v="140"/>
    <x v="140"/>
    <x v="2"/>
    <s v="Receptionist"/>
    <n v="19500"/>
    <n v="812.5"/>
    <n v="21"/>
    <n v="1"/>
    <n v="1"/>
    <n v="0"/>
    <n v="17875"/>
    <n v="2340"/>
    <n v="0"/>
    <n v="134.0625"/>
    <n v="15400.9375"/>
  </r>
  <r>
    <x v="141"/>
    <x v="141"/>
    <x v="10"/>
    <s v="Customer Service Executive"/>
    <n v="25500"/>
    <n v="1062.5"/>
    <n v="20"/>
    <n v="2"/>
    <n v="1"/>
    <n v="1"/>
    <n v="22843.75"/>
    <n v="3060"/>
    <n v="200"/>
    <n v="0"/>
    <n v="19583.75"/>
  </r>
  <r>
    <x v="142"/>
    <x v="142"/>
    <x v="1"/>
    <s v="Corporate Sales Executive"/>
    <n v="47000"/>
    <n v="1958.3333333333333"/>
    <n v="21"/>
    <n v="1"/>
    <n v="1"/>
    <n v="0"/>
    <n v="43083.333333333328"/>
    <n v="5640"/>
    <n v="200"/>
    <n v="0"/>
    <n v="37243.333333333328"/>
  </r>
  <r>
    <x v="143"/>
    <x v="143"/>
    <x v="11"/>
    <s v="Documentation Executive"/>
    <n v="26000"/>
    <n v="1083.3333333333333"/>
    <n v="18"/>
    <n v="1"/>
    <n v="1"/>
    <n v="0"/>
    <n v="20583.333333333332"/>
    <n v="3120"/>
    <n v="0"/>
    <n v="154.37499999999997"/>
    <n v="17308.958333333332"/>
  </r>
  <r>
    <x v="144"/>
    <x v="144"/>
    <x v="8"/>
    <s v="Electrical Technician"/>
    <n v="31500"/>
    <n v="1312.5"/>
    <n v="18"/>
    <n v="2"/>
    <n v="1"/>
    <n v="1"/>
    <n v="25593.75"/>
    <n v="3780"/>
    <n v="200"/>
    <n v="0"/>
    <n v="21613.75"/>
  </r>
  <r>
    <x v="145"/>
    <x v="145"/>
    <x v="11"/>
    <s v="Documentation Executive"/>
    <n v="25000"/>
    <n v="1041.6666666666667"/>
    <n v="22"/>
    <n v="2"/>
    <n v="1"/>
    <n v="1"/>
    <n v="24479.166666666668"/>
    <n v="3000"/>
    <n v="200"/>
    <n v="0"/>
    <n v="21279.166666666668"/>
  </r>
  <r>
    <x v="146"/>
    <x v="146"/>
    <x v="5"/>
    <s v="Sales Executive"/>
    <n v="29500"/>
    <n v="1229.1666666666667"/>
    <n v="22"/>
    <n v="2"/>
    <n v="1"/>
    <n v="1"/>
    <n v="28885.416666666668"/>
    <n v="3540"/>
    <n v="200"/>
    <n v="0"/>
    <n v="25145.416666666668"/>
  </r>
  <r>
    <x v="147"/>
    <x v="147"/>
    <x v="0"/>
    <s v="Production Manager"/>
    <n v="89500"/>
    <n v="3729.1666666666665"/>
    <n v="21"/>
    <n v="2"/>
    <n v="1"/>
    <n v="1"/>
    <n v="83906.25"/>
    <n v="10740"/>
    <n v="200"/>
    <n v="0"/>
    <n v="72966.25"/>
  </r>
  <r>
    <x v="148"/>
    <x v="148"/>
    <x v="3"/>
    <s v="Admin Executive"/>
    <n v="24000"/>
    <n v="1000"/>
    <n v="18"/>
    <n v="2"/>
    <n v="1"/>
    <n v="1"/>
    <n v="19500"/>
    <n v="2880"/>
    <n v="0"/>
    <n v="146.25"/>
    <n v="16473.75"/>
  </r>
  <r>
    <x v="149"/>
    <x v="149"/>
    <x v="6"/>
    <s v="Procurement Manager"/>
    <n v="62000"/>
    <n v="2583.3333333333335"/>
    <n v="22"/>
    <n v="1"/>
    <n v="1"/>
    <n v="0"/>
    <n v="59416.666666666672"/>
    <n v="7440"/>
    <n v="200"/>
    <n v="0"/>
    <n v="51776.666666666672"/>
  </r>
  <r>
    <x v="150"/>
    <x v="150"/>
    <x v="6"/>
    <s v="Sourcing Executive"/>
    <n v="35000"/>
    <n v="1458.3333333333333"/>
    <n v="22"/>
    <n v="2"/>
    <n v="1"/>
    <n v="1"/>
    <n v="34270.833333333328"/>
    <n v="4200"/>
    <n v="200"/>
    <n v="0"/>
    <n v="29870.833333333328"/>
  </r>
  <r>
    <x v="151"/>
    <x v="151"/>
    <x v="0"/>
    <s v="Production Manager"/>
    <n v="62000"/>
    <n v="2583.3333333333335"/>
    <n v="21"/>
    <n v="2"/>
    <n v="1"/>
    <n v="1"/>
    <n v="58125"/>
    <n v="7440"/>
    <n v="200"/>
    <n v="0"/>
    <n v="50485"/>
  </r>
  <r>
    <x v="152"/>
    <x v="152"/>
    <x v="5"/>
    <s v="Area Sales Executive"/>
    <n v="35000"/>
    <n v="1458.3333333333333"/>
    <n v="21"/>
    <n v="1"/>
    <n v="1"/>
    <n v="0"/>
    <n v="32083.333333333332"/>
    <n v="4200"/>
    <n v="200"/>
    <n v="0"/>
    <n v="27683.333333333332"/>
  </r>
  <r>
    <x v="153"/>
    <x v="153"/>
    <x v="8"/>
    <s v="Maintenance Supervisor"/>
    <n v="41000"/>
    <n v="1708.3333333333333"/>
    <n v="20"/>
    <n v="2"/>
    <n v="1"/>
    <n v="1"/>
    <n v="36729.166666666664"/>
    <n v="4920"/>
    <n v="200"/>
    <n v="0"/>
    <n v="31609.166666666664"/>
  </r>
  <r>
    <x v="154"/>
    <x v="154"/>
    <x v="10"/>
    <s v="Customer Relationship Officer"/>
    <n v="27500"/>
    <n v="1145.8333333333333"/>
    <n v="19"/>
    <n v="1"/>
    <n v="1"/>
    <n v="0"/>
    <n v="22916.666666666664"/>
    <n v="3300"/>
    <n v="200"/>
    <n v="0"/>
    <n v="19416.666666666664"/>
  </r>
  <r>
    <x v="155"/>
    <x v="155"/>
    <x v="9"/>
    <s v="HR Manager"/>
    <n v="66000"/>
    <n v="2750"/>
    <n v="20"/>
    <n v="1"/>
    <n v="1"/>
    <n v="0"/>
    <n v="57750"/>
    <n v="7920"/>
    <n v="200"/>
    <n v="0"/>
    <n v="49630"/>
  </r>
  <r>
    <x v="156"/>
    <x v="156"/>
    <x v="4"/>
    <s v="Accountant"/>
    <n v="35000"/>
    <n v="1458.3333333333333"/>
    <n v="22"/>
    <n v="2"/>
    <n v="1"/>
    <n v="1"/>
    <n v="34270.833333333328"/>
    <n v="4200"/>
    <n v="200"/>
    <n v="0"/>
    <n v="29870.833333333328"/>
  </r>
  <r>
    <x v="157"/>
    <x v="157"/>
    <x v="4"/>
    <s v="Accounts Manager"/>
    <n v="86000"/>
    <n v="3583.3333333333335"/>
    <n v="18"/>
    <n v="2"/>
    <n v="1"/>
    <n v="1"/>
    <n v="69875"/>
    <n v="10320"/>
    <n v="200"/>
    <n v="0"/>
    <n v="59355"/>
  </r>
  <r>
    <x v="158"/>
    <x v="158"/>
    <x v="0"/>
    <s v="Shift Incharge"/>
    <n v="50500"/>
    <n v="2104.1666666666665"/>
    <n v="18"/>
    <n v="1"/>
    <n v="1"/>
    <n v="0"/>
    <n v="39979.166666666664"/>
    <n v="6060"/>
    <n v="200"/>
    <n v="0"/>
    <n v="33719.166666666664"/>
  </r>
  <r>
    <x v="159"/>
    <x v="159"/>
    <x v="0"/>
    <s v="Production Manager"/>
    <n v="68500"/>
    <n v="2854.1666666666665"/>
    <n v="19"/>
    <n v="1"/>
    <n v="1"/>
    <n v="0"/>
    <n v="57083.333333333328"/>
    <n v="8220"/>
    <n v="200"/>
    <n v="0"/>
    <n v="48663.333333333328"/>
  </r>
  <r>
    <x v="160"/>
    <x v="160"/>
    <x v="5"/>
    <s v="Key Account Executive"/>
    <n v="48000"/>
    <n v="2000"/>
    <n v="22"/>
    <n v="2"/>
    <n v="1"/>
    <n v="1"/>
    <n v="47000"/>
    <n v="5760"/>
    <n v="200"/>
    <n v="0"/>
    <n v="41040"/>
  </r>
  <r>
    <x v="161"/>
    <x v="161"/>
    <x v="4"/>
    <s v="Accounts Executive"/>
    <n v="28000"/>
    <n v="1166.6666666666667"/>
    <n v="19"/>
    <n v="2"/>
    <n v="1"/>
    <n v="1"/>
    <n v="23916.666666666668"/>
    <n v="3360"/>
    <n v="200"/>
    <n v="0"/>
    <n v="20356.666666666668"/>
  </r>
  <r>
    <x v="162"/>
    <x v="162"/>
    <x v="10"/>
    <s v="Customer Relationship Officer"/>
    <n v="28500"/>
    <n v="1187.5"/>
    <n v="19"/>
    <n v="2"/>
    <n v="1"/>
    <n v="1"/>
    <n v="24343.75"/>
    <n v="3420"/>
    <n v="200"/>
    <n v="0"/>
    <n v="20723.75"/>
  </r>
  <r>
    <x v="163"/>
    <x v="163"/>
    <x v="7"/>
    <s v="IT Support Engineer"/>
    <n v="29000"/>
    <n v="1208.3333333333333"/>
    <n v="18"/>
    <n v="2"/>
    <n v="1"/>
    <n v="1"/>
    <n v="23562.5"/>
    <n v="3480"/>
    <n v="200"/>
    <n v="0"/>
    <n v="19882.5"/>
  </r>
  <r>
    <x v="164"/>
    <x v="164"/>
    <x v="0"/>
    <s v="Quality Inspector"/>
    <n v="29500"/>
    <n v="1229.1666666666667"/>
    <n v="21"/>
    <n v="2"/>
    <n v="1"/>
    <n v="1"/>
    <n v="27656.25"/>
    <n v="3540"/>
    <n v="200"/>
    <n v="0"/>
    <n v="23916.25"/>
  </r>
  <r>
    <x v="165"/>
    <x v="165"/>
    <x v="4"/>
    <s v="Accounts Manager"/>
    <n v="78000"/>
    <n v="3250"/>
    <n v="19"/>
    <n v="1"/>
    <n v="1"/>
    <n v="0"/>
    <n v="65000"/>
    <n v="9360"/>
    <n v="200"/>
    <n v="0"/>
    <n v="55440"/>
  </r>
  <r>
    <x v="166"/>
    <x v="166"/>
    <x v="1"/>
    <s v="Senior Business Development Executive"/>
    <n v="47500"/>
    <n v="1979.1666666666667"/>
    <n v="18"/>
    <n v="1"/>
    <n v="1"/>
    <n v="0"/>
    <n v="37604.166666666672"/>
    <n v="5700"/>
    <n v="200"/>
    <n v="0"/>
    <n v="31704.166666666672"/>
  </r>
  <r>
    <x v="167"/>
    <x v="167"/>
    <x v="0"/>
    <s v="Production Manager"/>
    <n v="64500"/>
    <n v="2687.5"/>
    <n v="22"/>
    <n v="2"/>
    <n v="1"/>
    <n v="1"/>
    <n v="63156.25"/>
    <n v="7740"/>
    <n v="200"/>
    <n v="0"/>
    <n v="55216.25"/>
  </r>
  <r>
    <x v="168"/>
    <x v="168"/>
    <x v="0"/>
    <s v="Production Executive"/>
    <n v="24500"/>
    <n v="1020.8333333333334"/>
    <n v="19"/>
    <n v="1"/>
    <n v="1"/>
    <n v="0"/>
    <n v="20416.666666666668"/>
    <n v="2940"/>
    <n v="0"/>
    <n v="153.125"/>
    <n v="17323.541666666668"/>
  </r>
  <r>
    <x v="169"/>
    <x v="169"/>
    <x v="0"/>
    <s v="Shift Incharge"/>
    <n v="47000"/>
    <n v="1958.3333333333333"/>
    <n v="19"/>
    <n v="1"/>
    <n v="1"/>
    <n v="0"/>
    <n v="39166.666666666664"/>
    <n v="5640"/>
    <n v="200"/>
    <n v="0"/>
    <n v="33326.666666666664"/>
  </r>
  <r>
    <x v="170"/>
    <x v="170"/>
    <x v="2"/>
    <s v="Front Office Executive"/>
    <n v="25500"/>
    <n v="1062.5"/>
    <n v="18"/>
    <n v="1"/>
    <n v="1"/>
    <n v="0"/>
    <n v="20187.5"/>
    <n v="3060"/>
    <n v="0"/>
    <n v="151.40625"/>
    <n v="16976.09375"/>
  </r>
  <r>
    <x v="171"/>
    <x v="171"/>
    <x v="2"/>
    <s v="Receptionist"/>
    <n v="24500"/>
    <n v="1020.8333333333334"/>
    <n v="20"/>
    <n v="1"/>
    <n v="1"/>
    <n v="0"/>
    <n v="21437.5"/>
    <n v="2940"/>
    <n v="200"/>
    <n v="0"/>
    <n v="18297.5"/>
  </r>
  <r>
    <x v="172"/>
    <x v="172"/>
    <x v="3"/>
    <s v="Facility Executive"/>
    <n v="26500"/>
    <n v="1104.1666666666667"/>
    <n v="18"/>
    <n v="2"/>
    <n v="1"/>
    <n v="1"/>
    <n v="21531.25"/>
    <n v="3180"/>
    <n v="200"/>
    <n v="0"/>
    <n v="18151.25"/>
  </r>
  <r>
    <x v="173"/>
    <x v="173"/>
    <x v="9"/>
    <s v="Payroll Executive"/>
    <n v="32500"/>
    <n v="1354.1666666666667"/>
    <n v="22"/>
    <n v="2"/>
    <n v="1"/>
    <n v="1"/>
    <n v="31822.916666666668"/>
    <n v="3900"/>
    <n v="200"/>
    <n v="0"/>
    <n v="27722.916666666668"/>
  </r>
  <r>
    <x v="174"/>
    <x v="174"/>
    <x v="1"/>
    <s v="Business Development Executive"/>
    <n v="32000"/>
    <n v="1333.3333333333333"/>
    <n v="19"/>
    <n v="1"/>
    <n v="1"/>
    <n v="0"/>
    <n v="26666.666666666664"/>
    <n v="3840"/>
    <n v="200"/>
    <n v="0"/>
    <n v="22626.666666666664"/>
  </r>
  <r>
    <x v="175"/>
    <x v="175"/>
    <x v="0"/>
    <s v="Production Executive"/>
    <n v="25000"/>
    <n v="1041.6666666666667"/>
    <n v="22"/>
    <n v="2"/>
    <n v="1"/>
    <n v="1"/>
    <n v="24479.166666666668"/>
    <n v="3000"/>
    <n v="200"/>
    <n v="0"/>
    <n v="21279.166666666668"/>
  </r>
  <r>
    <x v="176"/>
    <x v="176"/>
    <x v="0"/>
    <s v="Shift Incharge"/>
    <n v="49500"/>
    <n v="2062.5"/>
    <n v="22"/>
    <n v="1"/>
    <n v="1"/>
    <n v="0"/>
    <n v="47437.5"/>
    <n v="5940"/>
    <n v="200"/>
    <n v="0"/>
    <n v="41297.5"/>
  </r>
  <r>
    <x v="177"/>
    <x v="177"/>
    <x v="3"/>
    <s v="Facility Executive"/>
    <n v="25500"/>
    <n v="1062.5"/>
    <n v="20"/>
    <n v="2"/>
    <n v="1"/>
    <n v="1"/>
    <n v="22843.75"/>
    <n v="3060"/>
    <n v="200"/>
    <n v="0"/>
    <n v="19583.75"/>
  </r>
  <r>
    <x v="178"/>
    <x v="178"/>
    <x v="0"/>
    <s v="Quality Inspector"/>
    <n v="28000"/>
    <n v="1166.6666666666667"/>
    <n v="20"/>
    <n v="1"/>
    <n v="1"/>
    <n v="0"/>
    <n v="24500"/>
    <n v="3360"/>
    <n v="200"/>
    <n v="0"/>
    <n v="20940"/>
  </r>
  <r>
    <x v="179"/>
    <x v="179"/>
    <x v="8"/>
    <s v="Maintenance Supervisor"/>
    <n v="53500"/>
    <n v="2229.1666666666665"/>
    <n v="16"/>
    <n v="1"/>
    <n v="1"/>
    <n v="0"/>
    <n v="37895.833333333328"/>
    <n v="6420"/>
    <n v="200"/>
    <n v="0"/>
    <n v="31275.833333333328"/>
  </r>
  <r>
    <x v="180"/>
    <x v="180"/>
    <x v="4"/>
    <s v="Senior Accountant"/>
    <n v="54000"/>
    <n v="2250"/>
    <n v="21"/>
    <n v="1"/>
    <n v="1"/>
    <n v="0"/>
    <n v="49500"/>
    <n v="6480"/>
    <n v="200"/>
    <n v="0"/>
    <n v="42820"/>
  </r>
  <r>
    <x v="181"/>
    <x v="181"/>
    <x v="7"/>
    <s v="IT Manager"/>
    <n v="83000"/>
    <n v="3458.3333333333335"/>
    <n v="19"/>
    <n v="1"/>
    <n v="1"/>
    <n v="0"/>
    <n v="69166.666666666672"/>
    <n v="9960"/>
    <n v="200"/>
    <n v="0"/>
    <n v="59006.666666666672"/>
  </r>
  <r>
    <x v="182"/>
    <x v="182"/>
    <x v="2"/>
    <s v="Front Desk Coordinator"/>
    <n v="26500"/>
    <n v="1104.1666666666667"/>
    <n v="21"/>
    <n v="2"/>
    <n v="1"/>
    <n v="1"/>
    <n v="24843.75"/>
    <n v="3180"/>
    <n v="200"/>
    <n v="0"/>
    <n v="21463.75"/>
  </r>
  <r>
    <x v="183"/>
    <x v="183"/>
    <x v="3"/>
    <s v="Admin Executive"/>
    <n v="25000"/>
    <n v="1041.6666666666667"/>
    <n v="20"/>
    <n v="2"/>
    <n v="1"/>
    <n v="1"/>
    <n v="22395.833333333336"/>
    <n v="3000"/>
    <n v="200"/>
    <n v="0"/>
    <n v="19195.833333333336"/>
  </r>
  <r>
    <x v="184"/>
    <x v="184"/>
    <x v="2"/>
    <s v="Front Office Executive"/>
    <n v="29000"/>
    <n v="1208.3333333333333"/>
    <n v="19"/>
    <n v="1"/>
    <n v="1"/>
    <n v="0"/>
    <n v="24166.666666666664"/>
    <n v="3480"/>
    <n v="200"/>
    <n v="0"/>
    <n v="20486.666666666664"/>
  </r>
  <r>
    <x v="185"/>
    <x v="185"/>
    <x v="11"/>
    <s v="Operations Executive"/>
    <n v="28500"/>
    <n v="1187.5"/>
    <n v="22"/>
    <n v="1"/>
    <n v="1"/>
    <n v="0"/>
    <n v="27312.5"/>
    <n v="3420"/>
    <n v="200"/>
    <n v="0"/>
    <n v="23692.5"/>
  </r>
  <r>
    <x v="186"/>
    <x v="186"/>
    <x v="1"/>
    <s v="Business Development Manager"/>
    <n v="64000"/>
    <n v="2666.6666666666665"/>
    <n v="21"/>
    <n v="1"/>
    <n v="1"/>
    <n v="0"/>
    <n v="58666.666666666664"/>
    <n v="7680"/>
    <n v="200"/>
    <n v="0"/>
    <n v="50786.666666666664"/>
  </r>
  <r>
    <x v="187"/>
    <x v="187"/>
    <x v="8"/>
    <s v="Maintenance Manager"/>
    <n v="75500"/>
    <n v="3145.8333333333335"/>
    <n v="18"/>
    <n v="1"/>
    <n v="1"/>
    <n v="0"/>
    <n v="59770.833333333336"/>
    <n v="9060"/>
    <n v="200"/>
    <n v="0"/>
    <n v="50510.833333333336"/>
  </r>
  <r>
    <x v="188"/>
    <x v="188"/>
    <x v="11"/>
    <s v="Documentation Executive"/>
    <n v="25000"/>
    <n v="1041.6666666666667"/>
    <n v="18"/>
    <n v="2"/>
    <n v="1"/>
    <n v="1"/>
    <n v="20312.5"/>
    <n v="3000"/>
    <n v="0"/>
    <n v="152.34375"/>
    <n v="17160.15625"/>
  </r>
  <r>
    <x v="189"/>
    <x v="189"/>
    <x v="3"/>
    <s v="Office Administrator"/>
    <n v="25500"/>
    <n v="1062.5"/>
    <n v="20"/>
    <n v="2"/>
    <n v="1"/>
    <n v="1"/>
    <n v="22843.75"/>
    <n v="3060"/>
    <n v="200"/>
    <n v="0"/>
    <n v="19583.75"/>
  </r>
  <r>
    <x v="190"/>
    <x v="190"/>
    <x v="3"/>
    <s v="Office Administrator"/>
    <n v="34000"/>
    <n v="1416.6666666666667"/>
    <n v="21"/>
    <n v="2"/>
    <n v="1"/>
    <n v="1"/>
    <n v="31875"/>
    <n v="4080"/>
    <n v="200"/>
    <n v="0"/>
    <n v="27595"/>
  </r>
  <r>
    <x v="191"/>
    <x v="191"/>
    <x v="1"/>
    <s v="Business Development Manager"/>
    <n v="60500"/>
    <n v="2520.8333333333335"/>
    <n v="22"/>
    <n v="1"/>
    <n v="1"/>
    <n v="0"/>
    <n v="57979.166666666672"/>
    <n v="7260"/>
    <n v="200"/>
    <n v="0"/>
    <n v="50519.166666666672"/>
  </r>
  <r>
    <x v="192"/>
    <x v="192"/>
    <x v="3"/>
    <s v="Facility Executive"/>
    <n v="25500"/>
    <n v="1062.5"/>
    <n v="21"/>
    <n v="1"/>
    <n v="1"/>
    <n v="0"/>
    <n v="23375"/>
    <n v="3060"/>
    <n v="200"/>
    <n v="0"/>
    <n v="20115"/>
  </r>
  <r>
    <x v="193"/>
    <x v="193"/>
    <x v="6"/>
    <s v="Sourcing Executive"/>
    <n v="32000"/>
    <n v="1333.3333333333333"/>
    <n v="22"/>
    <n v="2"/>
    <n v="1"/>
    <n v="1"/>
    <n v="31333.333333333332"/>
    <n v="3840"/>
    <n v="200"/>
    <n v="0"/>
    <n v="27293.333333333332"/>
  </r>
  <r>
    <x v="194"/>
    <x v="194"/>
    <x v="6"/>
    <s v="Purchase Executive"/>
    <n v="27500"/>
    <n v="1145.8333333333333"/>
    <n v="18"/>
    <n v="1"/>
    <n v="1"/>
    <n v="0"/>
    <n v="21770.833333333332"/>
    <n v="3300"/>
    <n v="200"/>
    <n v="0"/>
    <n v="18270.833333333332"/>
  </r>
  <r>
    <x v="195"/>
    <x v="195"/>
    <x v="9"/>
    <s v="Payroll Executive"/>
    <n v="29500"/>
    <n v="1229.1666666666667"/>
    <n v="18"/>
    <n v="2"/>
    <n v="1"/>
    <n v="1"/>
    <n v="23968.75"/>
    <n v="3540"/>
    <n v="200"/>
    <n v="0"/>
    <n v="20228.75"/>
  </r>
  <r>
    <x v="196"/>
    <x v="196"/>
    <x v="7"/>
    <s v="IT Manager"/>
    <n v="92000"/>
    <n v="3833.3333333333335"/>
    <n v="22"/>
    <n v="1"/>
    <n v="1"/>
    <n v="0"/>
    <n v="88166.666666666672"/>
    <n v="11040"/>
    <n v="200"/>
    <n v="0"/>
    <n v="76926.666666666672"/>
  </r>
  <r>
    <x v="197"/>
    <x v="197"/>
    <x v="11"/>
    <s v="Documentation Executive"/>
    <n v="29500"/>
    <n v="1229.1666666666667"/>
    <n v="18"/>
    <n v="1"/>
    <n v="1"/>
    <n v="0"/>
    <n v="23354.166666666668"/>
    <n v="3540"/>
    <n v="200"/>
    <n v="0"/>
    <n v="19614.166666666668"/>
  </r>
  <r>
    <x v="198"/>
    <x v="198"/>
    <x v="0"/>
    <s v="Production Supervisor"/>
    <n v="39000"/>
    <n v="1625"/>
    <n v="18"/>
    <n v="1"/>
    <n v="1"/>
    <n v="0"/>
    <n v="30875"/>
    <n v="4680"/>
    <n v="200"/>
    <n v="0"/>
    <n v="25995"/>
  </r>
  <r>
    <x v="199"/>
    <x v="199"/>
    <x v="11"/>
    <s v="Operations Manager"/>
    <n v="77000"/>
    <n v="3208.3333333333335"/>
    <n v="20"/>
    <n v="2"/>
    <n v="1"/>
    <n v="1"/>
    <n v="68979.166666666672"/>
    <n v="9240"/>
    <n v="200"/>
    <n v="0"/>
    <n v="59539.166666666672"/>
  </r>
  <r>
    <x v="200"/>
    <x v="200"/>
    <x v="0"/>
    <s v="Production Manager"/>
    <n v="73500"/>
    <n v="3062.5"/>
    <n v="21"/>
    <n v="1"/>
    <n v="1"/>
    <n v="0"/>
    <n v="67375"/>
    <n v="8820"/>
    <n v="200"/>
    <n v="0"/>
    <n v="58355"/>
  </r>
  <r>
    <x v="201"/>
    <x v="201"/>
    <x v="11"/>
    <s v="Data Entry Executive"/>
    <n v="21500"/>
    <n v="895.83333333333337"/>
    <n v="20"/>
    <n v="2"/>
    <n v="1"/>
    <n v="1"/>
    <n v="19260.416666666668"/>
    <n v="2580"/>
    <n v="0"/>
    <n v="144.453125"/>
    <n v="16535.963541666668"/>
  </r>
  <r>
    <x v="202"/>
    <x v="202"/>
    <x v="11"/>
    <s v="Operations Executive"/>
    <n v="31000"/>
    <n v="1291.6666666666667"/>
    <n v="20"/>
    <n v="1"/>
    <n v="1"/>
    <n v="0"/>
    <n v="27125"/>
    <n v="3720"/>
    <n v="200"/>
    <n v="0"/>
    <n v="23205"/>
  </r>
  <r>
    <x v="203"/>
    <x v="203"/>
    <x v="11"/>
    <s v="Operations Manager"/>
    <n v="59000"/>
    <n v="2458.3333333333335"/>
    <n v="22"/>
    <n v="2"/>
    <n v="1"/>
    <n v="1"/>
    <n v="57770.833333333336"/>
    <n v="7080"/>
    <n v="200"/>
    <n v="0"/>
    <n v="50490.833333333336"/>
  </r>
  <r>
    <x v="204"/>
    <x v="204"/>
    <x v="4"/>
    <s v="Finance Executive"/>
    <n v="36000"/>
    <n v="1500"/>
    <n v="19"/>
    <n v="2"/>
    <n v="1"/>
    <n v="1"/>
    <n v="30750"/>
    <n v="4320"/>
    <n v="200"/>
    <n v="0"/>
    <n v="26230"/>
  </r>
  <r>
    <x v="205"/>
    <x v="205"/>
    <x v="4"/>
    <s v="Accounts Executive"/>
    <n v="24500"/>
    <n v="1020.8333333333334"/>
    <n v="18"/>
    <n v="2"/>
    <n v="1"/>
    <n v="1"/>
    <n v="19906.25"/>
    <n v="2940"/>
    <n v="0"/>
    <n v="149.296875"/>
    <n v="16816.953125"/>
  </r>
  <r>
    <x v="206"/>
    <x v="206"/>
    <x v="9"/>
    <s v="Payroll Executive"/>
    <n v="31500"/>
    <n v="1312.5"/>
    <n v="20"/>
    <n v="1"/>
    <n v="1"/>
    <n v="0"/>
    <n v="27562.5"/>
    <n v="3780"/>
    <n v="200"/>
    <n v="0"/>
    <n v="23582.5"/>
  </r>
  <r>
    <x v="207"/>
    <x v="207"/>
    <x v="4"/>
    <s v="Senior Accountant"/>
    <n v="42500"/>
    <n v="1770.8333333333333"/>
    <n v="19"/>
    <n v="2"/>
    <n v="1"/>
    <n v="1"/>
    <n v="36302.083333333328"/>
    <n v="5100"/>
    <n v="200"/>
    <n v="0"/>
    <n v="31002.083333333328"/>
  </r>
  <r>
    <x v="208"/>
    <x v="208"/>
    <x v="8"/>
    <s v="Mechanical Technician"/>
    <n v="30000"/>
    <n v="1250"/>
    <n v="22"/>
    <n v="1"/>
    <n v="1"/>
    <n v="0"/>
    <n v="28750"/>
    <n v="3600"/>
    <n v="200"/>
    <n v="0"/>
    <n v="24950"/>
  </r>
  <r>
    <x v="209"/>
    <x v="209"/>
    <x v="7"/>
    <s v="Software Developer"/>
    <n v="63500"/>
    <n v="2645.8333333333335"/>
    <n v="22"/>
    <n v="2"/>
    <n v="1"/>
    <n v="1"/>
    <n v="62177.083333333336"/>
    <n v="7620"/>
    <n v="200"/>
    <n v="0"/>
    <n v="54357.083333333336"/>
  </r>
  <r>
    <x v="210"/>
    <x v="210"/>
    <x v="6"/>
    <s v="Buyer"/>
    <n v="42000"/>
    <n v="1750"/>
    <n v="20"/>
    <n v="1"/>
    <n v="1"/>
    <n v="0"/>
    <n v="36750"/>
    <n v="5040"/>
    <n v="200"/>
    <n v="0"/>
    <n v="31510"/>
  </r>
  <r>
    <x v="211"/>
    <x v="211"/>
    <x v="5"/>
    <s v="Key Account Executive"/>
    <n v="45500"/>
    <n v="1895.8333333333333"/>
    <n v="22"/>
    <n v="1"/>
    <n v="1"/>
    <n v="0"/>
    <n v="43604.166666666664"/>
    <n v="5460"/>
    <n v="200"/>
    <n v="0"/>
    <n v="37944.166666666664"/>
  </r>
  <r>
    <x v="212"/>
    <x v="212"/>
    <x v="11"/>
    <s v="Operations Executive"/>
    <n v="31500"/>
    <n v="1312.5"/>
    <n v="20"/>
    <n v="1"/>
    <n v="1"/>
    <n v="0"/>
    <n v="27562.5"/>
    <n v="3780"/>
    <n v="200"/>
    <n v="0"/>
    <n v="23582.5"/>
  </r>
  <r>
    <x v="213"/>
    <x v="213"/>
    <x v="6"/>
    <s v="Purchase Executive"/>
    <n v="30000"/>
    <n v="1250"/>
    <n v="19"/>
    <n v="1"/>
    <n v="1"/>
    <n v="0"/>
    <n v="25000"/>
    <n v="3600"/>
    <n v="200"/>
    <n v="0"/>
    <n v="21200"/>
  </r>
  <r>
    <x v="214"/>
    <x v="214"/>
    <x v="7"/>
    <s v="IT Support Engineer"/>
    <n v="33500"/>
    <n v="1395.8333333333333"/>
    <n v="21"/>
    <n v="1"/>
    <n v="1"/>
    <n v="0"/>
    <n v="30708.333333333332"/>
    <n v="4020"/>
    <n v="200"/>
    <n v="0"/>
    <n v="26488.333333333332"/>
  </r>
  <r>
    <x v="215"/>
    <x v="215"/>
    <x v="0"/>
    <s v="Production Manager"/>
    <n v="57500"/>
    <n v="2395.8333333333335"/>
    <n v="19"/>
    <n v="1"/>
    <n v="1"/>
    <n v="0"/>
    <n v="47916.666666666672"/>
    <n v="6900"/>
    <n v="200"/>
    <n v="0"/>
    <n v="40816.666666666672"/>
  </r>
  <r>
    <x v="216"/>
    <x v="216"/>
    <x v="5"/>
    <s v="Senior Sales Executive"/>
    <n v="42000"/>
    <n v="1750"/>
    <n v="18"/>
    <n v="1"/>
    <n v="1"/>
    <n v="0"/>
    <n v="33250"/>
    <n v="5040"/>
    <n v="200"/>
    <n v="0"/>
    <n v="28010"/>
  </r>
  <r>
    <x v="217"/>
    <x v="217"/>
    <x v="4"/>
    <s v="Senior Accountant"/>
    <n v="55000"/>
    <n v="2291.6666666666665"/>
    <n v="19"/>
    <n v="1"/>
    <n v="1"/>
    <n v="0"/>
    <n v="45833.333333333328"/>
    <n v="6600"/>
    <n v="200"/>
    <n v="0"/>
    <n v="39033.333333333328"/>
  </r>
  <r>
    <x v="218"/>
    <x v="218"/>
    <x v="9"/>
    <s v="HR Executive"/>
    <n v="27000"/>
    <n v="1125"/>
    <n v="22"/>
    <n v="1"/>
    <n v="1"/>
    <n v="0"/>
    <n v="25875"/>
    <n v="3240"/>
    <n v="200"/>
    <n v="0"/>
    <n v="22435"/>
  </r>
  <r>
    <x v="219"/>
    <x v="219"/>
    <x v="6"/>
    <s v="Procurement Manager"/>
    <n v="61000"/>
    <n v="2541.6666666666665"/>
    <n v="19"/>
    <n v="1"/>
    <n v="1"/>
    <n v="0"/>
    <n v="50833.333333333328"/>
    <n v="7320"/>
    <n v="200"/>
    <n v="0"/>
    <n v="43313.333333333328"/>
  </r>
  <r>
    <x v="220"/>
    <x v="220"/>
    <x v="11"/>
    <s v="Documentation Executive"/>
    <n v="26500"/>
    <n v="1104.1666666666667"/>
    <n v="21"/>
    <n v="1"/>
    <n v="1"/>
    <n v="0"/>
    <n v="24291.666666666668"/>
    <n v="3180"/>
    <n v="200"/>
    <n v="0"/>
    <n v="20911.666666666668"/>
  </r>
  <r>
    <x v="221"/>
    <x v="221"/>
    <x v="0"/>
    <s v="Quality Inspector"/>
    <n v="34000"/>
    <n v="1416.6666666666667"/>
    <n v="22"/>
    <n v="1"/>
    <n v="1"/>
    <n v="0"/>
    <n v="32583.333333333336"/>
    <n v="4080"/>
    <n v="200"/>
    <n v="0"/>
    <n v="28303.333333333336"/>
  </r>
  <r>
    <x v="222"/>
    <x v="222"/>
    <x v="8"/>
    <s v="Maintenance Supervisor"/>
    <n v="53500"/>
    <n v="2229.1666666666665"/>
    <n v="22"/>
    <n v="1"/>
    <n v="1"/>
    <n v="0"/>
    <n v="51270.833333333328"/>
    <n v="6420"/>
    <n v="200"/>
    <n v="0"/>
    <n v="44650.833333333328"/>
  </r>
  <r>
    <x v="223"/>
    <x v="223"/>
    <x v="0"/>
    <s v="Shift Incharge"/>
    <n v="54000"/>
    <n v="2250"/>
    <n v="21"/>
    <n v="2"/>
    <n v="1"/>
    <n v="1"/>
    <n v="50625"/>
    <n v="6480"/>
    <n v="200"/>
    <n v="0"/>
    <n v="43945"/>
  </r>
  <r>
    <x v="224"/>
    <x v="224"/>
    <x v="2"/>
    <s v="Front Office Executive"/>
    <n v="28000"/>
    <n v="1166.6666666666667"/>
    <n v="19"/>
    <n v="2"/>
    <n v="1"/>
    <n v="1"/>
    <n v="23916.666666666668"/>
    <n v="3360"/>
    <n v="200"/>
    <n v="0"/>
    <n v="20356.666666666668"/>
  </r>
  <r>
    <x v="225"/>
    <x v="225"/>
    <x v="7"/>
    <s v="System Administrator"/>
    <n v="39000"/>
    <n v="1625"/>
    <n v="20"/>
    <n v="2"/>
    <n v="1"/>
    <n v="1"/>
    <n v="34937.5"/>
    <n v="4680"/>
    <n v="200"/>
    <n v="0"/>
    <n v="30057.5"/>
  </r>
  <r>
    <x v="226"/>
    <x v="226"/>
    <x v="11"/>
    <s v="MIS Executive"/>
    <n v="29000"/>
    <n v="1208.3333333333333"/>
    <n v="20"/>
    <n v="2"/>
    <n v="1"/>
    <n v="1"/>
    <n v="25979.166666666664"/>
    <n v="3480"/>
    <n v="200"/>
    <n v="0"/>
    <n v="22299.166666666664"/>
  </r>
  <r>
    <x v="227"/>
    <x v="227"/>
    <x v="2"/>
    <s v="Front Desk Coordinator"/>
    <n v="31500"/>
    <n v="1312.5"/>
    <n v="18"/>
    <n v="1"/>
    <n v="1"/>
    <n v="0"/>
    <n v="24937.5"/>
    <n v="3780"/>
    <n v="200"/>
    <n v="0"/>
    <n v="20957.5"/>
  </r>
  <r>
    <x v="228"/>
    <x v="228"/>
    <x v="4"/>
    <s v="Accountant"/>
    <n v="33500"/>
    <n v="1395.8333333333333"/>
    <n v="22"/>
    <n v="1"/>
    <n v="1"/>
    <n v="0"/>
    <n v="32104.166666666664"/>
    <n v="4020"/>
    <n v="200"/>
    <n v="0"/>
    <n v="27884.166666666664"/>
  </r>
  <r>
    <x v="229"/>
    <x v="229"/>
    <x v="10"/>
    <s v="Customer Service Executive"/>
    <n v="25000"/>
    <n v="1041.6666666666667"/>
    <n v="19"/>
    <n v="1"/>
    <n v="1"/>
    <n v="0"/>
    <n v="20833.333333333336"/>
    <n v="3000"/>
    <n v="0"/>
    <n v="156.25"/>
    <n v="17677.083333333336"/>
  </r>
  <r>
    <x v="230"/>
    <x v="230"/>
    <x v="8"/>
    <s v="Maintenance Engineer"/>
    <n v="46000"/>
    <n v="1916.6666666666667"/>
    <n v="19"/>
    <n v="1"/>
    <n v="1"/>
    <n v="0"/>
    <n v="38333.333333333336"/>
    <n v="5520"/>
    <n v="200"/>
    <n v="0"/>
    <n v="32613.333333333336"/>
  </r>
  <r>
    <x v="231"/>
    <x v="231"/>
    <x v="10"/>
    <s v="Relationship Manager"/>
    <n v="50500"/>
    <n v="2104.1666666666665"/>
    <n v="22"/>
    <n v="2"/>
    <n v="1"/>
    <n v="1"/>
    <n v="49447.916666666664"/>
    <n v="6060"/>
    <n v="200"/>
    <n v="0"/>
    <n v="43187.916666666664"/>
  </r>
  <r>
    <x v="232"/>
    <x v="232"/>
    <x v="6"/>
    <s v="Procurement Executive"/>
    <n v="34500"/>
    <n v="1437.5"/>
    <n v="19"/>
    <n v="1"/>
    <n v="1"/>
    <n v="0"/>
    <n v="28750"/>
    <n v="4140"/>
    <n v="200"/>
    <n v="0"/>
    <n v="24410"/>
  </r>
  <r>
    <x v="233"/>
    <x v="233"/>
    <x v="11"/>
    <s v="MIS Executive"/>
    <n v="28000"/>
    <n v="1166.6666666666667"/>
    <n v="21"/>
    <n v="2"/>
    <n v="1"/>
    <n v="1"/>
    <n v="26250"/>
    <n v="3360"/>
    <n v="200"/>
    <n v="0"/>
    <n v="22690"/>
  </r>
  <r>
    <x v="234"/>
    <x v="234"/>
    <x v="2"/>
    <s v="Front Desk Coordinator"/>
    <n v="27500"/>
    <n v="1145.8333333333333"/>
    <n v="20"/>
    <n v="1"/>
    <n v="1"/>
    <n v="0"/>
    <n v="24062.5"/>
    <n v="3300"/>
    <n v="200"/>
    <n v="0"/>
    <n v="20562.5"/>
  </r>
  <r>
    <x v="235"/>
    <x v="235"/>
    <x v="5"/>
    <s v="Senior Sales Executive"/>
    <n v="35000"/>
    <n v="1458.3333333333333"/>
    <n v="20"/>
    <n v="2"/>
    <n v="1"/>
    <n v="1"/>
    <n v="31354.166666666664"/>
    <n v="4200"/>
    <n v="200"/>
    <n v="0"/>
    <n v="26954.166666666664"/>
  </r>
  <r>
    <x v="236"/>
    <x v="236"/>
    <x v="9"/>
    <s v="HR Manager"/>
    <n v="84500"/>
    <n v="3520.8333333333335"/>
    <n v="18"/>
    <n v="2"/>
    <n v="1"/>
    <n v="1"/>
    <n v="68656.25"/>
    <n v="10140"/>
    <n v="200"/>
    <n v="0"/>
    <n v="58316.25"/>
  </r>
  <r>
    <x v="237"/>
    <x v="237"/>
    <x v="10"/>
    <s v="Customer Service Executive"/>
    <n v="23500"/>
    <n v="979.16666666666663"/>
    <n v="19"/>
    <n v="1"/>
    <n v="1"/>
    <n v="0"/>
    <n v="19583.333333333332"/>
    <n v="2820"/>
    <n v="0"/>
    <n v="146.87499999999997"/>
    <n v="16616.458333333332"/>
  </r>
  <r>
    <x v="238"/>
    <x v="238"/>
    <x v="2"/>
    <s v="Front Office Manager"/>
    <n v="55000"/>
    <n v="2291.6666666666665"/>
    <n v="19"/>
    <n v="2"/>
    <n v="1"/>
    <n v="1"/>
    <n v="46979.166666666664"/>
    <n v="6600"/>
    <n v="200"/>
    <n v="0"/>
    <n v="40179.166666666664"/>
  </r>
  <r>
    <x v="239"/>
    <x v="239"/>
    <x v="5"/>
    <s v="Senior Sales Executive"/>
    <n v="44500"/>
    <n v="1854.1666666666667"/>
    <n v="22"/>
    <n v="1"/>
    <n v="1"/>
    <n v="0"/>
    <n v="42645.833333333336"/>
    <n v="5340"/>
    <n v="200"/>
    <n v="0"/>
    <n v="37105.833333333336"/>
  </r>
  <r>
    <x v="240"/>
    <x v="240"/>
    <x v="5"/>
    <s v="Key Account Executive"/>
    <n v="47500"/>
    <n v="1979.1666666666667"/>
    <n v="21"/>
    <n v="2"/>
    <n v="1"/>
    <n v="1"/>
    <n v="44531.25"/>
    <n v="5700"/>
    <n v="200"/>
    <n v="0"/>
    <n v="38631.25"/>
  </r>
  <r>
    <x v="241"/>
    <x v="241"/>
    <x v="0"/>
    <s v="Production Manager"/>
    <n v="84000"/>
    <n v="3500"/>
    <n v="10"/>
    <n v="1"/>
    <n v="1"/>
    <n v="0"/>
    <n v="38500"/>
    <n v="10080"/>
    <n v="200"/>
    <n v="0"/>
    <n v="28220"/>
  </r>
  <r>
    <x v="242"/>
    <x v="242"/>
    <x v="3"/>
    <s v="Admin Executive"/>
    <n v="29000"/>
    <n v="1208.3333333333333"/>
    <n v="19"/>
    <n v="2"/>
    <n v="1"/>
    <n v="1"/>
    <n v="24770.833333333332"/>
    <n v="3480"/>
    <n v="200"/>
    <n v="0"/>
    <n v="21090.833333333332"/>
  </r>
  <r>
    <x v="243"/>
    <x v="243"/>
    <x v="1"/>
    <s v="Corporate Sales Executive"/>
    <n v="49000"/>
    <n v="2041.6666666666667"/>
    <n v="20"/>
    <n v="2"/>
    <n v="1"/>
    <n v="1"/>
    <n v="43895.833333333336"/>
    <n v="5880"/>
    <n v="200"/>
    <n v="0"/>
    <n v="37815.833333333336"/>
  </r>
  <r>
    <x v="244"/>
    <x v="244"/>
    <x v="3"/>
    <s v="Office Administrator"/>
    <n v="28500"/>
    <n v="1187.5"/>
    <n v="22"/>
    <n v="2"/>
    <n v="1"/>
    <n v="1"/>
    <n v="27906.25"/>
    <n v="3420"/>
    <n v="200"/>
    <n v="0"/>
    <n v="24286.25"/>
  </r>
  <r>
    <x v="245"/>
    <x v="245"/>
    <x v="0"/>
    <s v="Production Supervisor"/>
    <n v="44000"/>
    <n v="1833.3333333333333"/>
    <n v="19"/>
    <n v="1"/>
    <n v="1"/>
    <n v="0"/>
    <n v="36666.666666666664"/>
    <n v="5280"/>
    <n v="200"/>
    <n v="0"/>
    <n v="31186.666666666664"/>
  </r>
  <r>
    <x v="246"/>
    <x v="246"/>
    <x v="10"/>
    <s v="CRM Executive"/>
    <n v="24000"/>
    <n v="1000"/>
    <n v="21"/>
    <n v="1"/>
    <n v="1"/>
    <n v="0"/>
    <n v="22000"/>
    <n v="2880"/>
    <n v="200"/>
    <n v="0"/>
    <n v="18920"/>
  </r>
  <r>
    <x v="247"/>
    <x v="247"/>
    <x v="6"/>
    <s v="Procurement Manager"/>
    <n v="80500"/>
    <n v="3354.1666666666665"/>
    <n v="18"/>
    <n v="1"/>
    <n v="1"/>
    <n v="0"/>
    <n v="63729.166666666664"/>
    <n v="9660"/>
    <n v="200"/>
    <n v="0"/>
    <n v="53869.166666666664"/>
  </r>
  <r>
    <x v="248"/>
    <x v="248"/>
    <x v="2"/>
    <s v="Front Office Executive"/>
    <n v="30000"/>
    <n v="1250"/>
    <n v="18"/>
    <n v="1"/>
    <n v="1"/>
    <n v="0"/>
    <n v="23750"/>
    <n v="3600"/>
    <n v="200"/>
    <n v="0"/>
    <n v="19950"/>
  </r>
  <r>
    <x v="249"/>
    <x v="249"/>
    <x v="8"/>
    <s v="Maintenance Manager"/>
    <n v="82000"/>
    <n v="3416.6666666666665"/>
    <n v="19"/>
    <n v="1"/>
    <n v="1"/>
    <n v="0"/>
    <n v="68333.333333333328"/>
    <n v="9840"/>
    <n v="200"/>
    <n v="0"/>
    <n v="58293.333333333328"/>
  </r>
  <r>
    <x v="250"/>
    <x v="250"/>
    <x v="5"/>
    <s v="Area Sales Executive"/>
    <n v="36000"/>
    <n v="1500"/>
    <n v="22"/>
    <n v="2"/>
    <n v="1"/>
    <n v="1"/>
    <n v="35250"/>
    <n v="4320"/>
    <n v="200"/>
    <n v="0"/>
    <n v="30730"/>
  </r>
  <r>
    <x v="251"/>
    <x v="251"/>
    <x v="8"/>
    <s v="Maintenance Supervisor"/>
    <n v="47500"/>
    <n v="1979.1666666666667"/>
    <n v="22"/>
    <n v="1"/>
    <n v="1"/>
    <n v="0"/>
    <n v="45520.833333333336"/>
    <n v="5700"/>
    <n v="200"/>
    <n v="0"/>
    <n v="39620.833333333336"/>
  </r>
  <r>
    <x v="252"/>
    <x v="252"/>
    <x v="7"/>
    <s v="Software Developer"/>
    <n v="64500"/>
    <n v="2687.5"/>
    <n v="18"/>
    <n v="1"/>
    <n v="1"/>
    <n v="0"/>
    <n v="51062.5"/>
    <n v="7740"/>
    <n v="200"/>
    <n v="0"/>
    <n v="43122.5"/>
  </r>
  <r>
    <x v="253"/>
    <x v="253"/>
    <x v="5"/>
    <s v="Key Account Executive"/>
    <n v="38500"/>
    <n v="1604.1666666666667"/>
    <n v="20"/>
    <n v="2"/>
    <n v="1"/>
    <n v="1"/>
    <n v="34489.583333333336"/>
    <n v="4620"/>
    <n v="200"/>
    <n v="0"/>
    <n v="29669.583333333336"/>
  </r>
  <r>
    <x v="254"/>
    <x v="254"/>
    <x v="8"/>
    <s v="Electrical Technician"/>
    <n v="27000"/>
    <n v="1125"/>
    <n v="22"/>
    <n v="1"/>
    <n v="1"/>
    <n v="0"/>
    <n v="25875"/>
    <n v="3240"/>
    <n v="200"/>
    <n v="0"/>
    <n v="22435"/>
  </r>
  <r>
    <x v="255"/>
    <x v="255"/>
    <x v="10"/>
    <s v="CRM Executive"/>
    <n v="24000"/>
    <n v="1000"/>
    <n v="21"/>
    <n v="2"/>
    <n v="1"/>
    <n v="1"/>
    <n v="22500"/>
    <n v="2880"/>
    <n v="200"/>
    <n v="0"/>
    <n v="19420"/>
  </r>
  <r>
    <x v="256"/>
    <x v="256"/>
    <x v="10"/>
    <s v="Customer Success Executive"/>
    <n v="40500"/>
    <n v="1687.5"/>
    <n v="22"/>
    <n v="1"/>
    <n v="1"/>
    <n v="0"/>
    <n v="38812.5"/>
    <n v="4860"/>
    <n v="200"/>
    <n v="0"/>
    <n v="33752.5"/>
  </r>
  <r>
    <x v="257"/>
    <x v="257"/>
    <x v="5"/>
    <s v="Sales Executive"/>
    <n v="30000"/>
    <n v="1250"/>
    <n v="19"/>
    <n v="1"/>
    <n v="1"/>
    <n v="0"/>
    <n v="25000"/>
    <n v="3600"/>
    <n v="200"/>
    <n v="0"/>
    <n v="21200"/>
  </r>
  <r>
    <x v="258"/>
    <x v="258"/>
    <x v="3"/>
    <s v="Office Coordinator"/>
    <n v="31500"/>
    <n v="1312.5"/>
    <n v="19"/>
    <n v="2"/>
    <n v="1"/>
    <n v="1"/>
    <n v="26906.25"/>
    <n v="3780"/>
    <n v="200"/>
    <n v="0"/>
    <n v="22926.25"/>
  </r>
  <r>
    <x v="259"/>
    <x v="259"/>
    <x v="5"/>
    <s v="Key Account Executive"/>
    <n v="41500"/>
    <n v="1729.1666666666667"/>
    <n v="22"/>
    <n v="2"/>
    <n v="1"/>
    <n v="1"/>
    <n v="40635.416666666672"/>
    <n v="4980"/>
    <n v="200"/>
    <n v="0"/>
    <n v="35455.416666666672"/>
  </r>
  <r>
    <x v="260"/>
    <x v="260"/>
    <x v="1"/>
    <s v="Senior Business Development Executive"/>
    <n v="44000"/>
    <n v="1833.3333333333333"/>
    <n v="18"/>
    <n v="2"/>
    <n v="1"/>
    <n v="1"/>
    <n v="35750"/>
    <n v="5280"/>
    <n v="200"/>
    <n v="0"/>
    <n v="30270"/>
  </r>
  <r>
    <x v="261"/>
    <x v="261"/>
    <x v="9"/>
    <s v="Recruiter"/>
    <n v="26500"/>
    <n v="1104.1666666666667"/>
    <n v="20"/>
    <n v="2"/>
    <n v="1"/>
    <n v="1"/>
    <n v="23739.583333333336"/>
    <n v="3180"/>
    <n v="200"/>
    <n v="0"/>
    <n v="20359.583333333336"/>
  </r>
  <r>
    <x v="262"/>
    <x v="262"/>
    <x v="4"/>
    <s v="Accounts Executive"/>
    <n v="23500"/>
    <n v="979.16666666666663"/>
    <n v="19"/>
    <n v="1"/>
    <n v="1"/>
    <n v="0"/>
    <n v="19583.333333333332"/>
    <n v="2820"/>
    <n v="0"/>
    <n v="146.87499999999997"/>
    <n v="16616.458333333332"/>
  </r>
  <r>
    <x v="263"/>
    <x v="263"/>
    <x v="3"/>
    <s v="Facility Executive"/>
    <n v="28000"/>
    <n v="1166.6666666666667"/>
    <n v="22"/>
    <n v="2"/>
    <n v="1"/>
    <n v="1"/>
    <n v="27416.666666666668"/>
    <n v="3360"/>
    <n v="200"/>
    <n v="0"/>
    <n v="23856.666666666668"/>
  </r>
  <r>
    <x v="264"/>
    <x v="264"/>
    <x v="5"/>
    <s v="Key Account Executive"/>
    <n v="36000"/>
    <n v="1500"/>
    <n v="21"/>
    <n v="1"/>
    <n v="1"/>
    <n v="0"/>
    <n v="33000"/>
    <n v="4320"/>
    <n v="200"/>
    <n v="0"/>
    <n v="28480"/>
  </r>
  <r>
    <x v="265"/>
    <x v="265"/>
    <x v="10"/>
    <s v="CRM Executive"/>
    <n v="27500"/>
    <n v="1145.8333333333333"/>
    <n v="18"/>
    <n v="2"/>
    <n v="1"/>
    <n v="1"/>
    <n v="22343.75"/>
    <n v="3300"/>
    <n v="200"/>
    <n v="0"/>
    <n v="18843.75"/>
  </r>
  <r>
    <x v="266"/>
    <x v="266"/>
    <x v="5"/>
    <s v="Sales Manager"/>
    <n v="61500"/>
    <n v="2562.5"/>
    <n v="21"/>
    <n v="1"/>
    <n v="1"/>
    <n v="0"/>
    <n v="56375"/>
    <n v="7380"/>
    <n v="200"/>
    <n v="0"/>
    <n v="48795"/>
  </r>
  <r>
    <x v="267"/>
    <x v="267"/>
    <x v="8"/>
    <s v="Electrical Technician"/>
    <n v="29500"/>
    <n v="1229.1666666666667"/>
    <n v="18"/>
    <n v="1"/>
    <n v="1"/>
    <n v="0"/>
    <n v="23354.166666666668"/>
    <n v="3540"/>
    <n v="200"/>
    <n v="0"/>
    <n v="19614.166666666668"/>
  </r>
  <r>
    <x v="268"/>
    <x v="268"/>
    <x v="0"/>
    <s v="Production Supervisor"/>
    <n v="39000"/>
    <n v="1625"/>
    <n v="21"/>
    <n v="1"/>
    <n v="1"/>
    <n v="0"/>
    <n v="35750"/>
    <n v="4680"/>
    <n v="200"/>
    <n v="0"/>
    <n v="30870"/>
  </r>
  <r>
    <x v="269"/>
    <x v="269"/>
    <x v="7"/>
    <s v="IT Manager"/>
    <n v="72500"/>
    <n v="3020.8333333333335"/>
    <n v="19"/>
    <n v="2"/>
    <n v="1"/>
    <n v="1"/>
    <n v="61927.083333333336"/>
    <n v="8700"/>
    <n v="200"/>
    <n v="0"/>
    <n v="53027.083333333336"/>
  </r>
  <r>
    <x v="270"/>
    <x v="270"/>
    <x v="1"/>
    <s v="Corporate Sales Executive"/>
    <n v="47500"/>
    <n v="1979.1666666666667"/>
    <n v="22"/>
    <n v="1"/>
    <n v="1"/>
    <n v="0"/>
    <n v="45520.833333333336"/>
    <n v="5700"/>
    <n v="200"/>
    <n v="0"/>
    <n v="39620.833333333336"/>
  </r>
  <r>
    <x v="271"/>
    <x v="271"/>
    <x v="4"/>
    <s v="Accountant"/>
    <n v="31500"/>
    <n v="1312.5"/>
    <n v="22"/>
    <n v="1"/>
    <n v="1"/>
    <n v="0"/>
    <n v="30187.5"/>
    <n v="3780"/>
    <n v="200"/>
    <n v="0"/>
    <n v="26207.5"/>
  </r>
  <r>
    <x v="272"/>
    <x v="272"/>
    <x v="8"/>
    <s v="Maintenance Supervisor"/>
    <n v="44500"/>
    <n v="1854.1666666666667"/>
    <n v="20"/>
    <n v="1"/>
    <n v="1"/>
    <n v="0"/>
    <n v="38937.5"/>
    <n v="5340"/>
    <n v="200"/>
    <n v="0"/>
    <n v="33397.5"/>
  </r>
  <r>
    <x v="273"/>
    <x v="273"/>
    <x v="1"/>
    <s v="Business Development Executive"/>
    <n v="26000"/>
    <n v="1083.3333333333333"/>
    <n v="20"/>
    <n v="2"/>
    <n v="1"/>
    <n v="1"/>
    <n v="23291.666666666664"/>
    <n v="3120"/>
    <n v="200"/>
    <n v="0"/>
    <n v="19971.666666666664"/>
  </r>
  <r>
    <x v="274"/>
    <x v="274"/>
    <x v="4"/>
    <s v="Accounts Executive"/>
    <n v="26500"/>
    <n v="1104.1666666666667"/>
    <n v="21"/>
    <n v="1"/>
    <n v="1"/>
    <n v="0"/>
    <n v="24291.666666666668"/>
    <n v="3180"/>
    <n v="200"/>
    <n v="0"/>
    <n v="20911.666666666668"/>
  </r>
  <r>
    <x v="275"/>
    <x v="275"/>
    <x v="8"/>
    <s v="Maintenance Engineer"/>
    <n v="36000"/>
    <n v="1500"/>
    <n v="18"/>
    <n v="1"/>
    <n v="1"/>
    <n v="0"/>
    <n v="28500"/>
    <n v="4320"/>
    <n v="200"/>
    <n v="0"/>
    <n v="23980"/>
  </r>
  <r>
    <x v="276"/>
    <x v="276"/>
    <x v="11"/>
    <s v="Operations Executive"/>
    <n v="33000"/>
    <n v="1375"/>
    <n v="22"/>
    <n v="1"/>
    <n v="1"/>
    <n v="0"/>
    <n v="31625"/>
    <n v="3960"/>
    <n v="200"/>
    <n v="0"/>
    <n v="27465"/>
  </r>
  <r>
    <x v="277"/>
    <x v="277"/>
    <x v="8"/>
    <s v="Mechanical Technician"/>
    <n v="34500"/>
    <n v="1437.5"/>
    <n v="21"/>
    <n v="1"/>
    <n v="1"/>
    <n v="0"/>
    <n v="31625"/>
    <n v="4140"/>
    <n v="200"/>
    <n v="0"/>
    <n v="27285"/>
  </r>
  <r>
    <x v="278"/>
    <x v="278"/>
    <x v="8"/>
    <s v="Maintenance Supervisor"/>
    <n v="54500"/>
    <n v="2270.8333333333335"/>
    <n v="20"/>
    <n v="1"/>
    <n v="1"/>
    <n v="0"/>
    <n v="47687.5"/>
    <n v="6540"/>
    <n v="200"/>
    <n v="0"/>
    <n v="40947.5"/>
  </r>
  <r>
    <x v="279"/>
    <x v="279"/>
    <x v="10"/>
    <s v="CRM Executive"/>
    <n v="23000"/>
    <n v="958.33333333333337"/>
    <n v="20"/>
    <n v="2"/>
    <n v="1"/>
    <n v="1"/>
    <n v="20604.166666666668"/>
    <n v="2760"/>
    <n v="0"/>
    <n v="154.53125"/>
    <n v="17689.635416666668"/>
  </r>
  <r>
    <x v="280"/>
    <x v="280"/>
    <x v="3"/>
    <s v="Facility Executive"/>
    <n v="31500"/>
    <n v="1312.5"/>
    <n v="21"/>
    <n v="1"/>
    <n v="1"/>
    <n v="0"/>
    <n v="28875"/>
    <n v="3780"/>
    <n v="200"/>
    <n v="0"/>
    <n v="24895"/>
  </r>
  <r>
    <x v="281"/>
    <x v="281"/>
    <x v="2"/>
    <s v="Front Office Executive"/>
    <n v="24000"/>
    <n v="1000"/>
    <n v="19"/>
    <n v="2"/>
    <n v="1"/>
    <n v="1"/>
    <n v="20500"/>
    <n v="2880"/>
    <n v="0"/>
    <n v="153.75"/>
    <n v="17466.25"/>
  </r>
  <r>
    <x v="282"/>
    <x v="282"/>
    <x v="6"/>
    <s v="Buyer"/>
    <n v="37500"/>
    <n v="1562.5"/>
    <n v="20"/>
    <n v="2"/>
    <n v="1"/>
    <n v="1"/>
    <n v="33593.75"/>
    <n v="4500"/>
    <n v="200"/>
    <n v="0"/>
    <n v="28893.75"/>
  </r>
  <r>
    <x v="283"/>
    <x v="283"/>
    <x v="9"/>
    <s v="HR Executive"/>
    <n v="29500"/>
    <n v="1229.1666666666667"/>
    <n v="19"/>
    <n v="1"/>
    <n v="1"/>
    <n v="0"/>
    <n v="24583.333333333336"/>
    <n v="3540"/>
    <n v="200"/>
    <n v="0"/>
    <n v="20843.333333333336"/>
  </r>
  <r>
    <x v="284"/>
    <x v="284"/>
    <x v="7"/>
    <s v="IT Manager"/>
    <n v="76500"/>
    <n v="3187.5"/>
    <n v="21"/>
    <n v="1"/>
    <n v="1"/>
    <n v="0"/>
    <n v="70125"/>
    <n v="9180"/>
    <n v="200"/>
    <n v="0"/>
    <n v="60745"/>
  </r>
  <r>
    <x v="285"/>
    <x v="285"/>
    <x v="3"/>
    <s v="Facility Executive"/>
    <n v="32500"/>
    <n v="1354.1666666666667"/>
    <n v="18"/>
    <n v="2"/>
    <n v="1"/>
    <n v="1"/>
    <n v="26406.25"/>
    <n v="3900"/>
    <n v="200"/>
    <n v="0"/>
    <n v="22306.25"/>
  </r>
  <r>
    <x v="286"/>
    <x v="286"/>
    <x v="8"/>
    <s v="Maintenance Engineer"/>
    <n v="38000"/>
    <n v="1583.3333333333333"/>
    <n v="19"/>
    <n v="2"/>
    <n v="1"/>
    <n v="1"/>
    <n v="32458.333333333332"/>
    <n v="4560"/>
    <n v="200"/>
    <n v="0"/>
    <n v="27698.333333333332"/>
  </r>
  <r>
    <x v="287"/>
    <x v="287"/>
    <x v="3"/>
    <s v="Office Administrator"/>
    <n v="29500"/>
    <n v="1229.1666666666667"/>
    <n v="19"/>
    <n v="2"/>
    <n v="1"/>
    <n v="1"/>
    <n v="25197.916666666668"/>
    <n v="3540"/>
    <n v="200"/>
    <n v="0"/>
    <n v="21457.916666666668"/>
  </r>
  <r>
    <x v="288"/>
    <x v="288"/>
    <x v="0"/>
    <s v="Shift Incharge"/>
    <n v="45500"/>
    <n v="1895.8333333333333"/>
    <n v="22"/>
    <n v="1"/>
    <n v="1"/>
    <n v="0"/>
    <n v="43604.166666666664"/>
    <n v="5460"/>
    <n v="200"/>
    <n v="0"/>
    <n v="37944.166666666664"/>
  </r>
  <r>
    <x v="289"/>
    <x v="289"/>
    <x v="10"/>
    <s v="Customer Service Executive"/>
    <n v="30000"/>
    <n v="1250"/>
    <n v="20"/>
    <n v="2"/>
    <n v="1"/>
    <n v="1"/>
    <n v="26875"/>
    <n v="3600"/>
    <n v="200"/>
    <n v="0"/>
    <n v="23075"/>
  </r>
  <r>
    <x v="290"/>
    <x v="290"/>
    <x v="4"/>
    <s v="Senior Accountant"/>
    <n v="40000"/>
    <n v="1666.6666666666667"/>
    <n v="21"/>
    <n v="1"/>
    <n v="1"/>
    <n v="0"/>
    <n v="36666.666666666672"/>
    <n v="4800"/>
    <n v="200"/>
    <n v="0"/>
    <n v="31666.666666666672"/>
  </r>
  <r>
    <x v="291"/>
    <x v="291"/>
    <x v="8"/>
    <s v="Maintenance Supervisor"/>
    <n v="48500"/>
    <n v="2020.8333333333333"/>
    <n v="19"/>
    <n v="1"/>
    <n v="1"/>
    <n v="0"/>
    <n v="40416.666666666664"/>
    <n v="5820"/>
    <n v="200"/>
    <n v="0"/>
    <n v="34396.666666666664"/>
  </r>
  <r>
    <x v="292"/>
    <x v="292"/>
    <x v="8"/>
    <s v="Maintenance Engineer"/>
    <n v="46500"/>
    <n v="1937.5"/>
    <n v="21"/>
    <n v="1"/>
    <n v="1"/>
    <n v="0"/>
    <n v="42625"/>
    <n v="5580"/>
    <n v="200"/>
    <n v="0"/>
    <n v="36845"/>
  </r>
  <r>
    <x v="293"/>
    <x v="293"/>
    <x v="7"/>
    <s v="Network Engineer"/>
    <n v="40000"/>
    <n v="1666.6666666666667"/>
    <n v="21"/>
    <n v="1"/>
    <n v="1"/>
    <n v="0"/>
    <n v="36666.666666666672"/>
    <n v="4800"/>
    <n v="200"/>
    <n v="0"/>
    <n v="31666.666666666672"/>
  </r>
  <r>
    <x v="294"/>
    <x v="294"/>
    <x v="5"/>
    <s v="Key Account Executive"/>
    <n v="39500"/>
    <n v="1645.8333333333333"/>
    <n v="18"/>
    <n v="1"/>
    <n v="1"/>
    <n v="0"/>
    <n v="31270.833333333332"/>
    <n v="4740"/>
    <n v="200"/>
    <n v="0"/>
    <n v="26330.833333333332"/>
  </r>
  <r>
    <x v="295"/>
    <x v="295"/>
    <x v="5"/>
    <s v="Senior Sales Executive"/>
    <n v="37500"/>
    <n v="1562.5"/>
    <n v="21"/>
    <n v="1"/>
    <n v="1"/>
    <n v="0"/>
    <n v="34375"/>
    <n v="4500"/>
    <n v="200"/>
    <n v="0"/>
    <n v="29675"/>
  </r>
  <r>
    <x v="296"/>
    <x v="296"/>
    <x v="0"/>
    <s v="Production Executive"/>
    <n v="23000"/>
    <n v="958.33333333333337"/>
    <n v="20"/>
    <n v="1"/>
    <n v="1"/>
    <n v="0"/>
    <n v="20125"/>
    <n v="2760"/>
    <n v="0"/>
    <n v="150.9375"/>
    <n v="17214.0625"/>
  </r>
  <r>
    <x v="297"/>
    <x v="297"/>
    <x v="3"/>
    <s v="Admin Executive"/>
    <n v="23500"/>
    <n v="979.16666666666663"/>
    <n v="22"/>
    <n v="1"/>
    <n v="1"/>
    <n v="0"/>
    <n v="22520.833333333332"/>
    <n v="2820"/>
    <n v="200"/>
    <n v="0"/>
    <n v="19500.833333333332"/>
  </r>
  <r>
    <x v="298"/>
    <x v="298"/>
    <x v="4"/>
    <s v="Accountant"/>
    <n v="27000"/>
    <n v="1125"/>
    <n v="19"/>
    <n v="1"/>
    <n v="1"/>
    <n v="0"/>
    <n v="22500"/>
    <n v="3240"/>
    <n v="200"/>
    <n v="0"/>
    <n v="19060"/>
  </r>
  <r>
    <x v="299"/>
    <x v="299"/>
    <x v="8"/>
    <s v="Maintenance Supervisor"/>
    <n v="42000"/>
    <n v="1750"/>
    <n v="15"/>
    <n v="2"/>
    <n v="1"/>
    <n v="1"/>
    <n v="28875"/>
    <n v="5040"/>
    <n v="200"/>
    <n v="0"/>
    <n v="236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F2BE2-9D53-43B6-910B-DD8E31B0CEF0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5">
  <location ref="A18:B28" firstHeaderRow="1" firstDataRow="1" firstDataCol="1"/>
  <pivotFields count="15">
    <pivotField compact="0" outline="0" showAll="0" measureFilter="1" defaultSubtotal="0">
      <items count="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</items>
    </pivotField>
    <pivotField axis="axisRow" compact="0" outline="0" showAll="0" measureFilter="1" sortType="ascending" defaultSubtotal="0">
      <items count="300">
        <item x="191"/>
        <item x="89"/>
        <item x="287"/>
        <item x="240"/>
        <item x="172"/>
        <item x="197"/>
        <item x="244"/>
        <item x="40"/>
        <item x="44"/>
        <item x="266"/>
        <item x="63"/>
        <item x="2"/>
        <item x="137"/>
        <item x="282"/>
        <item x="47"/>
        <item x="30"/>
        <item x="79"/>
        <item x="108"/>
        <item x="256"/>
        <item x="80"/>
        <item x="45"/>
        <item x="6"/>
        <item x="215"/>
        <item x="288"/>
        <item x="127"/>
        <item x="286"/>
        <item x="25"/>
        <item x="18"/>
        <item x="185"/>
        <item x="82"/>
        <item x="20"/>
        <item x="83"/>
        <item x="218"/>
        <item x="57"/>
        <item x="298"/>
        <item x="39"/>
        <item x="198"/>
        <item x="174"/>
        <item x="87"/>
        <item x="135"/>
        <item x="274"/>
        <item x="58"/>
        <item x="81"/>
        <item x="147"/>
        <item x="193"/>
        <item x="223"/>
        <item x="290"/>
        <item x="200"/>
        <item x="271"/>
        <item x="262"/>
        <item x="133"/>
        <item x="245"/>
        <item x="38"/>
        <item x="249"/>
        <item x="208"/>
        <item x="160"/>
        <item x="99"/>
        <item x="101"/>
        <item x="176"/>
        <item x="103"/>
        <item x="42"/>
        <item x="263"/>
        <item x="165"/>
        <item x="264"/>
        <item x="202"/>
        <item x="145"/>
        <item x="126"/>
        <item x="231"/>
        <item x="187"/>
        <item x="106"/>
        <item x="278"/>
        <item x="128"/>
        <item x="261"/>
        <item x="207"/>
        <item x="152"/>
        <item x="299"/>
        <item x="120"/>
        <item x="230"/>
        <item x="131"/>
        <item x="270"/>
        <item x="77"/>
        <item x="28"/>
        <item x="297"/>
        <item x="211"/>
        <item x="151"/>
        <item x="250"/>
        <item x="23"/>
        <item x="281"/>
        <item x="24"/>
        <item x="91"/>
        <item x="90"/>
        <item x="267"/>
        <item x="43"/>
        <item x="177"/>
        <item x="236"/>
        <item x="19"/>
        <item x="157"/>
        <item x="124"/>
        <item x="32"/>
        <item x="141"/>
        <item x="51"/>
        <item x="5"/>
        <item x="214"/>
        <item x="102"/>
        <item x="284"/>
        <item x="166"/>
        <item x="37"/>
        <item x="36"/>
        <item x="60"/>
        <item x="122"/>
        <item x="116"/>
        <item x="259"/>
        <item x="220"/>
        <item x="94"/>
        <item x="206"/>
        <item x="138"/>
        <item x="15"/>
        <item x="186"/>
        <item x="195"/>
        <item x="233"/>
        <item x="54"/>
        <item x="74"/>
        <item x="209"/>
        <item x="257"/>
        <item x="275"/>
        <item x="182"/>
        <item x="35"/>
        <item x="132"/>
        <item x="21"/>
        <item x="12"/>
        <item x="254"/>
        <item x="84"/>
        <item x="34"/>
        <item x="204"/>
        <item x="134"/>
        <item x="180"/>
        <item x="49"/>
        <item x="61"/>
        <item x="173"/>
        <item x="269"/>
        <item x="201"/>
        <item x="228"/>
        <item x="142"/>
        <item x="196"/>
        <item x="213"/>
        <item x="11"/>
        <item x="226"/>
        <item x="76"/>
        <item x="238"/>
        <item x="260"/>
        <item x="235"/>
        <item x="149"/>
        <item x="85"/>
        <item x="283"/>
        <item x="52"/>
        <item x="239"/>
        <item x="178"/>
        <item x="4"/>
        <item x="155"/>
        <item x="227"/>
        <item x="144"/>
        <item x="17"/>
        <item x="242"/>
        <item x="168"/>
        <item x="113"/>
        <item x="229"/>
        <item x="205"/>
        <item x="272"/>
        <item x="170"/>
        <item x="175"/>
        <item x="293"/>
        <item x="78"/>
        <item x="253"/>
        <item x="184"/>
        <item x="105"/>
        <item x="237"/>
        <item x="31"/>
        <item x="246"/>
        <item x="104"/>
        <item x="189"/>
        <item x="26"/>
        <item x="289"/>
        <item x="222"/>
        <item x="117"/>
        <item x="41"/>
        <item x="111"/>
        <item x="75"/>
        <item x="169"/>
        <item x="171"/>
        <item x="162"/>
        <item x="277"/>
        <item x="280"/>
        <item x="294"/>
        <item x="232"/>
        <item x="216"/>
        <item x="121"/>
        <item x="33"/>
        <item x="22"/>
        <item x="243"/>
        <item x="159"/>
        <item x="100"/>
        <item x="292"/>
        <item x="69"/>
        <item x="62"/>
        <item x="285"/>
        <item x="64"/>
        <item x="150"/>
        <item x="110"/>
        <item x="217"/>
        <item x="56"/>
        <item x="161"/>
        <item x="179"/>
        <item x="3"/>
        <item x="143"/>
        <item x="224"/>
        <item x="183"/>
        <item x="247"/>
        <item x="295"/>
        <item x="129"/>
        <item x="9"/>
        <item x="96"/>
        <item x="72"/>
        <item x="112"/>
        <item x="268"/>
        <item x="276"/>
        <item x="107"/>
        <item x="71"/>
        <item x="164"/>
        <item x="125"/>
        <item x="273"/>
        <item x="65"/>
        <item x="93"/>
        <item x="188"/>
        <item x="167"/>
        <item x="212"/>
        <item x="118"/>
        <item x="140"/>
        <item x="190"/>
        <item x="7"/>
        <item x="181"/>
        <item x="225"/>
        <item x="139"/>
        <item x="1"/>
        <item x="241"/>
        <item x="86"/>
        <item x="291"/>
        <item x="192"/>
        <item x="92"/>
        <item x="115"/>
        <item x="210"/>
        <item x="219"/>
        <item x="16"/>
        <item x="136"/>
        <item x="13"/>
        <item x="119"/>
        <item x="66"/>
        <item x="67"/>
        <item x="199"/>
        <item x="50"/>
        <item x="95"/>
        <item x="48"/>
        <item x="109"/>
        <item x="255"/>
        <item x="114"/>
        <item x="10"/>
        <item x="0"/>
        <item x="123"/>
        <item x="234"/>
        <item x="88"/>
        <item x="296"/>
        <item x="146"/>
        <item x="221"/>
        <item x="148"/>
        <item x="194"/>
        <item x="252"/>
        <item x="73"/>
        <item x="154"/>
        <item x="279"/>
        <item x="27"/>
        <item x="14"/>
        <item x="97"/>
        <item x="68"/>
        <item x="265"/>
        <item x="203"/>
        <item x="59"/>
        <item x="156"/>
        <item x="248"/>
        <item x="163"/>
        <item x="130"/>
        <item x="8"/>
        <item x="53"/>
        <item x="70"/>
        <item x="29"/>
        <item x="98"/>
        <item x="55"/>
        <item x="258"/>
        <item x="153"/>
        <item x="46"/>
        <item x="251"/>
        <item x="15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12">
        <item x="4"/>
        <item x="3"/>
        <item x="11"/>
        <item x="1"/>
        <item x="10"/>
        <item x="2"/>
        <item x="9"/>
        <item x="7"/>
        <item x="8"/>
        <item x="6"/>
        <item x="0"/>
        <item x="5"/>
      </items>
    </pivotField>
    <pivotField compact="0" outline="0" showAll="0" defaultSubtotal="0"/>
    <pivotField compact="0" numFmtId="44" outline="0" showAll="0" defaultSubtotal="0"/>
    <pivotField compact="0" numFmtId="4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44" outline="0" showAll="0" defaultSubtotal="0"/>
    <pivotField compact="0" numFmtId="44" outline="0" showAll="0" defaultSubtotal="0"/>
    <pivotField compact="0" numFmtId="44" outline="0" showAll="0" defaultSubtotal="0"/>
    <pivotField compact="0" numFmtId="44" outline="0" showAll="0" defaultSubtotal="0"/>
    <pivotField compact="0" numFmtId="44" outline="0" showAll="0" defaultSubtotal="0"/>
  </pivotFields>
  <rowFields count="1">
    <field x="1"/>
  </rowFields>
  <rowItems count="10">
    <i>
      <x v="258"/>
    </i>
    <i>
      <x v="10"/>
    </i>
    <i>
      <x v="33"/>
    </i>
    <i>
      <x v="256"/>
    </i>
    <i>
      <x v="19"/>
    </i>
    <i>
      <x v="218"/>
    </i>
    <i>
      <x v="281"/>
    </i>
    <i>
      <x v="43"/>
    </i>
    <i>
      <x v="247"/>
    </i>
    <i>
      <x v="143"/>
    </i>
  </rowItems>
  <colItems count="1">
    <i/>
  </colItems>
  <dataFields count="1">
    <dataField name="Sum of Gross Salary" fld="10" baseField="0" baseItem="0" numFmtId="44"/>
  </dataFields>
  <formats count="6">
    <format dxfId="14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outline="0" fieldPosition="0">
        <references count="1">
          <reference field="1" count="10">
            <x v="10"/>
            <x v="19"/>
            <x v="33"/>
            <x v="43"/>
            <x v="143"/>
            <x v="218"/>
            <x v="247"/>
            <x v="256"/>
            <x v="258"/>
            <x v="281"/>
          </reference>
        </references>
      </pivotArea>
    </format>
    <format dxfId="9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10" filterVal="10"/>
        </filterColumn>
      </autoFilter>
    </filter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95E55-AE94-4622-8CE5-987C545491F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:E15" firstHeaderRow="1" firstDataRow="1" firstDataCol="1"/>
  <pivotFields count="15">
    <pivotField showAll="0"/>
    <pivotField showAll="0"/>
    <pivotField axis="axisRow" showAll="0">
      <items count="13">
        <item x="4"/>
        <item x="3"/>
        <item x="11"/>
        <item x="1"/>
        <item x="10"/>
        <item x="2"/>
        <item x="9"/>
        <item x="7"/>
        <item x="8"/>
        <item x="6"/>
        <item x="0"/>
        <item x="5"/>
        <item t="default"/>
      </items>
    </pivotField>
    <pivotField showAll="0"/>
    <pivotField numFmtId="44" showAll="0"/>
    <pivotField numFmtId="44" showAll="0"/>
    <pivotField showAll="0"/>
    <pivotField showAll="0"/>
    <pivotField showAll="0"/>
    <pivotField showAll="0"/>
    <pivotField dataField="1" numFmtId="44" showAll="0"/>
    <pivotField numFmtId="44" showAll="0"/>
    <pivotField numFmtId="44" showAll="0"/>
    <pivotField numFmtId="44" showAll="0"/>
    <pivotField numFmtId="4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ss Salary" fld="10" baseField="0" baseItem="0" numFmtId="44"/>
  </dataFields>
  <formats count="8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2" type="button" dataOnly="0" labelOnly="1" outline="0" axis="axisRow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58555-05A2-4CB4-8C1C-3AB9667AC1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15" firstHeaderRow="1" firstDataRow="1" firstDataCol="1"/>
  <pivotFields count="6">
    <pivotField dataField="1" showAll="0"/>
    <pivotField showAll="0"/>
    <pivotField showAll="0"/>
    <pivotField axis="axisRow" showAll="0">
      <items count="13">
        <item x="4"/>
        <item x="3"/>
        <item x="11"/>
        <item x="1"/>
        <item x="10"/>
        <item x="2"/>
        <item x="9"/>
        <item x="7"/>
        <item x="8"/>
        <item x="6"/>
        <item x="0"/>
        <item x="5"/>
        <item t="default"/>
      </items>
    </pivotField>
    <pivotField showAll="0"/>
    <pivotField numFmtId="44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Emp No" fld="0" subtotal="count" baseField="0" baseItem="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F0028-7862-4E15-B7C2-FFB5231BCABA}" name="Table1" displayName="Table1" ref="D18:E22" totalsRowShown="0" headerRowDxfId="8">
  <autoFilter ref="D18:E22" xr:uid="{839F0028-7862-4E15-B7C2-FFB5231BCABA}"/>
  <tableColumns count="2">
    <tableColumn id="1" xr3:uid="{0722D4CB-17B2-4958-A948-5FFC15CF02E8}" name="Status" dataDxfId="7"/>
    <tableColumn id="2" xr3:uid="{047451AF-1B13-4128-9E3E-B7E5CE199E22}" name="Percentage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3"/>
  <sheetViews>
    <sheetView topLeftCell="B1" zoomScaleNormal="100" workbookViewId="0">
      <pane ySplit="3" topLeftCell="A4" activePane="bottomLeft" state="frozen"/>
      <selection pane="bottomLeft" activeCell="P1" sqref="P1:P1048576"/>
    </sheetView>
  </sheetViews>
  <sheetFormatPr defaultRowHeight="14.4" x14ac:dyDescent="0.3"/>
  <cols>
    <col min="1" max="1" width="9.21875" bestFit="1" customWidth="1"/>
    <col min="2" max="2" width="19" bestFit="1" customWidth="1"/>
    <col min="3" max="3" width="10.6640625" bestFit="1" customWidth="1"/>
    <col min="4" max="4" width="19.5546875" bestFit="1" customWidth="1"/>
    <col min="5" max="5" width="33.6640625" bestFit="1" customWidth="1"/>
    <col min="6" max="6" width="13.5546875" style="8" bestFit="1" customWidth="1"/>
  </cols>
  <sheetData>
    <row r="1" spans="1:6" s="157" customFormat="1" x14ac:dyDescent="0.3">
      <c r="A1" s="47" t="s">
        <v>687</v>
      </c>
      <c r="B1" s="47"/>
      <c r="C1" s="47"/>
      <c r="D1" s="47"/>
      <c r="E1" s="47"/>
      <c r="F1" s="47"/>
    </row>
    <row r="2" spans="1:6" s="157" customFormat="1" x14ac:dyDescent="0.3">
      <c r="A2" s="47"/>
      <c r="B2" s="47"/>
      <c r="C2" s="47"/>
      <c r="D2" s="47"/>
      <c r="E2" s="47"/>
      <c r="F2" s="47"/>
    </row>
    <row r="3" spans="1:6" s="157" customFormat="1" ht="1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5" t="s">
        <v>688</v>
      </c>
    </row>
    <row r="4" spans="1:6" x14ac:dyDescent="0.3">
      <c r="A4" s="155" t="s">
        <v>5</v>
      </c>
      <c r="B4" s="155" t="s">
        <v>6</v>
      </c>
      <c r="C4" s="155" t="s">
        <v>7</v>
      </c>
      <c r="D4" s="155" t="s">
        <v>8</v>
      </c>
      <c r="E4" s="155" t="s">
        <v>9</v>
      </c>
      <c r="F4" s="156">
        <v>29000</v>
      </c>
    </row>
    <row r="5" spans="1:6" x14ac:dyDescent="0.3">
      <c r="A5" s="2" t="s">
        <v>10</v>
      </c>
      <c r="B5" s="2" t="s">
        <v>11</v>
      </c>
      <c r="C5" s="2" t="s">
        <v>7</v>
      </c>
      <c r="D5" s="2" t="s">
        <v>8</v>
      </c>
      <c r="E5" s="2" t="s">
        <v>12</v>
      </c>
      <c r="F5" s="46">
        <v>46500</v>
      </c>
    </row>
    <row r="6" spans="1:6" x14ac:dyDescent="0.3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46">
        <v>44500</v>
      </c>
    </row>
    <row r="7" spans="1:6" x14ac:dyDescent="0.3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46">
        <v>20500</v>
      </c>
    </row>
    <row r="8" spans="1:6" x14ac:dyDescent="0.3">
      <c r="A8" s="2" t="s">
        <v>23</v>
      </c>
      <c r="B8" s="2" t="s">
        <v>24</v>
      </c>
      <c r="C8" s="2" t="s">
        <v>25</v>
      </c>
      <c r="D8" s="2" t="s">
        <v>21</v>
      </c>
      <c r="E8" s="2" t="s">
        <v>26</v>
      </c>
      <c r="F8" s="46">
        <v>29000</v>
      </c>
    </row>
    <row r="9" spans="1:6" x14ac:dyDescent="0.3">
      <c r="A9" s="2" t="s">
        <v>27</v>
      </c>
      <c r="B9" s="2" t="s">
        <v>28</v>
      </c>
      <c r="C9" s="2" t="s">
        <v>20</v>
      </c>
      <c r="D9" s="2" t="s">
        <v>29</v>
      </c>
      <c r="E9" s="2" t="s">
        <v>30</v>
      </c>
      <c r="F9" s="46">
        <v>53500</v>
      </c>
    </row>
    <row r="10" spans="1:6" x14ac:dyDescent="0.3">
      <c r="A10" s="2" t="s">
        <v>31</v>
      </c>
      <c r="B10" s="2" t="s">
        <v>32</v>
      </c>
      <c r="C10" s="2" t="s">
        <v>33</v>
      </c>
      <c r="D10" s="2" t="s">
        <v>29</v>
      </c>
      <c r="E10" s="2" t="s">
        <v>34</v>
      </c>
      <c r="F10" s="46">
        <v>25500</v>
      </c>
    </row>
    <row r="11" spans="1:6" x14ac:dyDescent="0.3">
      <c r="A11" s="2" t="s">
        <v>35</v>
      </c>
      <c r="B11" s="2" t="s">
        <v>36</v>
      </c>
      <c r="C11" s="2" t="s">
        <v>33</v>
      </c>
      <c r="D11" s="2" t="s">
        <v>37</v>
      </c>
      <c r="E11" s="2" t="s">
        <v>38</v>
      </c>
      <c r="F11" s="46">
        <v>27500</v>
      </c>
    </row>
    <row r="12" spans="1:6" x14ac:dyDescent="0.3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43</v>
      </c>
      <c r="F12" s="46">
        <v>43500</v>
      </c>
    </row>
    <row r="13" spans="1:6" x14ac:dyDescent="0.3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46">
        <v>45000</v>
      </c>
    </row>
    <row r="14" spans="1:6" x14ac:dyDescent="0.3">
      <c r="A14" s="2" t="s">
        <v>49</v>
      </c>
      <c r="B14" s="2" t="s">
        <v>50</v>
      </c>
      <c r="C14" s="2" t="s">
        <v>15</v>
      </c>
      <c r="D14" s="2" t="s">
        <v>37</v>
      </c>
      <c r="E14" s="2" t="s">
        <v>51</v>
      </c>
      <c r="F14" s="46">
        <v>36000</v>
      </c>
    </row>
    <row r="15" spans="1:6" x14ac:dyDescent="0.3">
      <c r="A15" s="2" t="s">
        <v>52</v>
      </c>
      <c r="B15" s="2" t="s">
        <v>53</v>
      </c>
      <c r="C15" s="2" t="s">
        <v>15</v>
      </c>
      <c r="D15" s="2" t="s">
        <v>29</v>
      </c>
      <c r="E15" s="2" t="s">
        <v>54</v>
      </c>
      <c r="F15" s="46">
        <v>28000</v>
      </c>
    </row>
    <row r="16" spans="1:6" x14ac:dyDescent="0.3">
      <c r="A16" s="2" t="s">
        <v>55</v>
      </c>
      <c r="B16" s="2" t="s">
        <v>56</v>
      </c>
      <c r="C16" s="2" t="s">
        <v>57</v>
      </c>
      <c r="D16" s="2" t="s">
        <v>37</v>
      </c>
      <c r="E16" s="2" t="s">
        <v>58</v>
      </c>
      <c r="F16" s="46">
        <v>40500</v>
      </c>
    </row>
    <row r="17" spans="1:6" x14ac:dyDescent="0.3">
      <c r="A17" s="2" t="s">
        <v>59</v>
      </c>
      <c r="B17" s="2" t="s">
        <v>60</v>
      </c>
      <c r="C17" s="2" t="s">
        <v>33</v>
      </c>
      <c r="D17" s="2" t="s">
        <v>61</v>
      </c>
      <c r="E17" s="2" t="s">
        <v>62</v>
      </c>
      <c r="F17" s="46">
        <v>37000</v>
      </c>
    </row>
    <row r="18" spans="1:6" x14ac:dyDescent="0.3">
      <c r="A18" s="2" t="s">
        <v>63</v>
      </c>
      <c r="B18" s="2" t="s">
        <v>64</v>
      </c>
      <c r="C18" s="2" t="s">
        <v>20</v>
      </c>
      <c r="D18" s="2" t="s">
        <v>29</v>
      </c>
      <c r="E18" s="2" t="s">
        <v>54</v>
      </c>
      <c r="F18" s="46">
        <v>32000</v>
      </c>
    </row>
    <row r="19" spans="1:6" x14ac:dyDescent="0.3">
      <c r="A19" s="2" t="s">
        <v>65</v>
      </c>
      <c r="B19" s="2" t="s">
        <v>66</v>
      </c>
      <c r="C19" s="2" t="s">
        <v>46</v>
      </c>
      <c r="D19" s="2" t="s">
        <v>47</v>
      </c>
      <c r="E19" s="2" t="s">
        <v>67</v>
      </c>
      <c r="F19" s="46">
        <v>38000</v>
      </c>
    </row>
    <row r="20" spans="1:6" x14ac:dyDescent="0.3">
      <c r="A20" s="2" t="s">
        <v>68</v>
      </c>
      <c r="B20" s="2" t="s">
        <v>69</v>
      </c>
      <c r="C20" s="2" t="s">
        <v>33</v>
      </c>
      <c r="D20" s="2" t="s">
        <v>16</v>
      </c>
      <c r="E20" s="2" t="s">
        <v>70</v>
      </c>
      <c r="F20" s="46">
        <v>43000</v>
      </c>
    </row>
    <row r="21" spans="1:6" x14ac:dyDescent="0.3">
      <c r="A21" s="2" t="s">
        <v>71</v>
      </c>
      <c r="B21" s="2" t="s">
        <v>72</v>
      </c>
      <c r="C21" s="2" t="s">
        <v>73</v>
      </c>
      <c r="D21" s="2" t="s">
        <v>29</v>
      </c>
      <c r="E21" s="2" t="s">
        <v>74</v>
      </c>
      <c r="F21" s="46">
        <v>27500</v>
      </c>
    </row>
    <row r="22" spans="1:6" x14ac:dyDescent="0.3">
      <c r="A22" s="2" t="s">
        <v>75</v>
      </c>
      <c r="B22" s="2" t="s">
        <v>76</v>
      </c>
      <c r="C22" s="2" t="s">
        <v>15</v>
      </c>
      <c r="D22" s="2" t="s">
        <v>77</v>
      </c>
      <c r="E22" s="2" t="s">
        <v>78</v>
      </c>
      <c r="F22" s="46">
        <v>30500</v>
      </c>
    </row>
    <row r="23" spans="1:6" x14ac:dyDescent="0.3">
      <c r="A23" s="2" t="s">
        <v>79</v>
      </c>
      <c r="B23" s="2" t="s">
        <v>80</v>
      </c>
      <c r="C23" s="2" t="s">
        <v>81</v>
      </c>
      <c r="D23" s="2" t="s">
        <v>82</v>
      </c>
      <c r="E23" s="2" t="s">
        <v>83</v>
      </c>
      <c r="F23" s="46">
        <v>26500</v>
      </c>
    </row>
    <row r="24" spans="1:6" x14ac:dyDescent="0.3">
      <c r="A24" s="2" t="s">
        <v>84</v>
      </c>
      <c r="B24" s="2" t="s">
        <v>85</v>
      </c>
      <c r="C24" s="2" t="s">
        <v>20</v>
      </c>
      <c r="D24" s="2" t="s">
        <v>16</v>
      </c>
      <c r="E24" s="2" t="s">
        <v>86</v>
      </c>
      <c r="F24" s="46">
        <v>39000</v>
      </c>
    </row>
    <row r="25" spans="1:6" x14ac:dyDescent="0.3">
      <c r="A25" s="2" t="s">
        <v>87</v>
      </c>
      <c r="B25" s="2" t="s">
        <v>88</v>
      </c>
      <c r="C25" s="2" t="s">
        <v>57</v>
      </c>
      <c r="D25" s="2" t="s">
        <v>16</v>
      </c>
      <c r="E25" s="2" t="s">
        <v>86</v>
      </c>
      <c r="F25" s="46">
        <v>41500</v>
      </c>
    </row>
    <row r="26" spans="1:6" x14ac:dyDescent="0.3">
      <c r="A26" s="2" t="s">
        <v>89</v>
      </c>
      <c r="B26" s="2" t="s">
        <v>90</v>
      </c>
      <c r="C26" s="2" t="s">
        <v>20</v>
      </c>
      <c r="D26" s="2" t="s">
        <v>21</v>
      </c>
      <c r="E26" s="2" t="s">
        <v>91</v>
      </c>
      <c r="F26" s="46">
        <v>30000</v>
      </c>
    </row>
    <row r="27" spans="1:6" x14ac:dyDescent="0.3">
      <c r="A27" s="2" t="s">
        <v>92</v>
      </c>
      <c r="B27" s="2" t="s">
        <v>93</v>
      </c>
      <c r="C27" s="2" t="s">
        <v>81</v>
      </c>
      <c r="D27" s="2" t="s">
        <v>16</v>
      </c>
      <c r="E27" s="2" t="s">
        <v>86</v>
      </c>
      <c r="F27" s="46">
        <v>35500</v>
      </c>
    </row>
    <row r="28" spans="1:6" x14ac:dyDescent="0.3">
      <c r="A28" s="2" t="s">
        <v>94</v>
      </c>
      <c r="B28" s="2" t="s">
        <v>95</v>
      </c>
      <c r="C28" s="2" t="s">
        <v>41</v>
      </c>
      <c r="D28" s="2" t="s">
        <v>8</v>
      </c>
      <c r="E28" s="2" t="s">
        <v>96</v>
      </c>
      <c r="F28" s="46">
        <v>35500</v>
      </c>
    </row>
    <row r="29" spans="1:6" x14ac:dyDescent="0.3">
      <c r="A29" s="2" t="s">
        <v>97</v>
      </c>
      <c r="B29" s="2" t="s">
        <v>98</v>
      </c>
      <c r="C29" s="2" t="s">
        <v>15</v>
      </c>
      <c r="D29" s="2" t="s">
        <v>47</v>
      </c>
      <c r="E29" s="2" t="s">
        <v>99</v>
      </c>
      <c r="F29" s="46">
        <v>34000</v>
      </c>
    </row>
    <row r="30" spans="1:6" x14ac:dyDescent="0.3">
      <c r="A30" s="2" t="s">
        <v>100</v>
      </c>
      <c r="B30" s="2" t="s">
        <v>101</v>
      </c>
      <c r="C30" s="2" t="s">
        <v>81</v>
      </c>
      <c r="D30" s="2" t="s">
        <v>77</v>
      </c>
      <c r="E30" s="2" t="s">
        <v>102</v>
      </c>
      <c r="F30" s="46">
        <v>29000</v>
      </c>
    </row>
    <row r="31" spans="1:6" x14ac:dyDescent="0.3">
      <c r="A31" s="2" t="s">
        <v>103</v>
      </c>
      <c r="B31" s="2" t="s">
        <v>104</v>
      </c>
      <c r="C31" s="2" t="s">
        <v>25</v>
      </c>
      <c r="D31" s="2" t="s">
        <v>42</v>
      </c>
      <c r="E31" s="2" t="s">
        <v>105</v>
      </c>
      <c r="F31" s="46">
        <v>41500</v>
      </c>
    </row>
    <row r="32" spans="1:6" x14ac:dyDescent="0.3">
      <c r="A32" s="2" t="s">
        <v>106</v>
      </c>
      <c r="B32" s="2" t="s">
        <v>107</v>
      </c>
      <c r="C32" s="2" t="s">
        <v>73</v>
      </c>
      <c r="D32" s="2" t="s">
        <v>37</v>
      </c>
      <c r="E32" s="2" t="s">
        <v>38</v>
      </c>
      <c r="F32" s="46">
        <v>33500</v>
      </c>
    </row>
    <row r="33" spans="1:6" x14ac:dyDescent="0.3">
      <c r="A33" s="2" t="s">
        <v>108</v>
      </c>
      <c r="B33" s="2" t="s">
        <v>109</v>
      </c>
      <c r="C33" s="2" t="s">
        <v>25</v>
      </c>
      <c r="D33" s="2" t="s">
        <v>42</v>
      </c>
      <c r="E33" s="2" t="s">
        <v>43</v>
      </c>
      <c r="F33" s="46">
        <v>39000</v>
      </c>
    </row>
    <row r="34" spans="1:6" x14ac:dyDescent="0.3">
      <c r="A34" s="2" t="s">
        <v>110</v>
      </c>
      <c r="B34" s="2" t="s">
        <v>111</v>
      </c>
      <c r="C34" s="2" t="s">
        <v>25</v>
      </c>
      <c r="D34" s="2" t="s">
        <v>112</v>
      </c>
      <c r="E34" s="2" t="s">
        <v>113</v>
      </c>
      <c r="F34" s="46">
        <v>28000</v>
      </c>
    </row>
    <row r="35" spans="1:6" x14ac:dyDescent="0.3">
      <c r="A35" s="2" t="s">
        <v>114</v>
      </c>
      <c r="B35" s="2" t="s">
        <v>115</v>
      </c>
      <c r="C35" s="2" t="s">
        <v>73</v>
      </c>
      <c r="D35" s="2" t="s">
        <v>29</v>
      </c>
      <c r="E35" s="2" t="s">
        <v>54</v>
      </c>
      <c r="F35" s="46">
        <v>31000</v>
      </c>
    </row>
    <row r="36" spans="1:6" x14ac:dyDescent="0.3">
      <c r="A36" s="2" t="s">
        <v>116</v>
      </c>
      <c r="B36" s="2" t="s">
        <v>117</v>
      </c>
      <c r="C36" s="2" t="s">
        <v>46</v>
      </c>
      <c r="D36" s="2" t="s">
        <v>118</v>
      </c>
      <c r="E36" s="2" t="s">
        <v>119</v>
      </c>
      <c r="F36" s="46">
        <v>23500</v>
      </c>
    </row>
    <row r="37" spans="1:6" x14ac:dyDescent="0.3">
      <c r="A37" s="2" t="s">
        <v>120</v>
      </c>
      <c r="B37" s="2" t="s">
        <v>121</v>
      </c>
      <c r="C37" s="2" t="s">
        <v>73</v>
      </c>
      <c r="D37" s="2" t="s">
        <v>61</v>
      </c>
      <c r="E37" s="2" t="s">
        <v>122</v>
      </c>
      <c r="F37" s="46">
        <v>36000</v>
      </c>
    </row>
    <row r="38" spans="1:6" x14ac:dyDescent="0.3">
      <c r="A38" s="2" t="s">
        <v>123</v>
      </c>
      <c r="B38" s="2" t="s">
        <v>124</v>
      </c>
      <c r="C38" s="2" t="s">
        <v>46</v>
      </c>
      <c r="D38" s="2" t="s">
        <v>29</v>
      </c>
      <c r="E38" s="2" t="s">
        <v>30</v>
      </c>
      <c r="F38" s="46">
        <v>57000</v>
      </c>
    </row>
    <row r="39" spans="1:6" x14ac:dyDescent="0.3">
      <c r="A39" s="2" t="s">
        <v>125</v>
      </c>
      <c r="B39" s="2" t="s">
        <v>126</v>
      </c>
      <c r="C39" s="2" t="s">
        <v>20</v>
      </c>
      <c r="D39" s="2" t="s">
        <v>16</v>
      </c>
      <c r="E39" s="2" t="s">
        <v>70</v>
      </c>
      <c r="F39" s="46">
        <v>49500</v>
      </c>
    </row>
    <row r="40" spans="1:6" x14ac:dyDescent="0.3">
      <c r="A40" s="2" t="s">
        <v>127</v>
      </c>
      <c r="B40" s="2" t="s">
        <v>128</v>
      </c>
      <c r="C40" s="2" t="s">
        <v>57</v>
      </c>
      <c r="D40" s="2" t="s">
        <v>47</v>
      </c>
      <c r="E40" s="2" t="s">
        <v>129</v>
      </c>
      <c r="F40" s="46">
        <v>76000</v>
      </c>
    </row>
    <row r="41" spans="1:6" x14ac:dyDescent="0.3">
      <c r="A41" s="2" t="s">
        <v>130</v>
      </c>
      <c r="B41" s="2" t="s">
        <v>131</v>
      </c>
      <c r="C41" s="2" t="s">
        <v>20</v>
      </c>
      <c r="D41" s="2" t="s">
        <v>42</v>
      </c>
      <c r="E41" s="2" t="s">
        <v>105</v>
      </c>
      <c r="F41" s="46">
        <v>45500</v>
      </c>
    </row>
    <row r="42" spans="1:6" x14ac:dyDescent="0.3">
      <c r="A42" s="2" t="s">
        <v>132</v>
      </c>
      <c r="B42" s="2" t="s">
        <v>133</v>
      </c>
      <c r="C42" s="2" t="s">
        <v>33</v>
      </c>
      <c r="D42" s="2" t="s">
        <v>112</v>
      </c>
      <c r="E42" s="2" t="s">
        <v>134</v>
      </c>
      <c r="F42" s="46">
        <v>27000</v>
      </c>
    </row>
    <row r="43" spans="1:6" x14ac:dyDescent="0.3">
      <c r="A43" s="2" t="s">
        <v>135</v>
      </c>
      <c r="B43" s="2" t="s">
        <v>136</v>
      </c>
      <c r="C43" s="2" t="s">
        <v>41</v>
      </c>
      <c r="D43" s="2" t="s">
        <v>42</v>
      </c>
      <c r="E43" s="2" t="s">
        <v>137</v>
      </c>
      <c r="F43" s="46">
        <v>37000</v>
      </c>
    </row>
    <row r="44" spans="1:6" x14ac:dyDescent="0.3">
      <c r="A44" s="2" t="s">
        <v>138</v>
      </c>
      <c r="B44" s="2" t="s">
        <v>139</v>
      </c>
      <c r="C44" s="2" t="s">
        <v>73</v>
      </c>
      <c r="D44" s="2" t="s">
        <v>21</v>
      </c>
      <c r="E44" s="2" t="s">
        <v>91</v>
      </c>
      <c r="F44" s="46">
        <v>25500</v>
      </c>
    </row>
    <row r="45" spans="1:6" x14ac:dyDescent="0.3">
      <c r="A45" s="2" t="s">
        <v>140</v>
      </c>
      <c r="B45" s="2" t="s">
        <v>141</v>
      </c>
      <c r="C45" s="2" t="s">
        <v>25</v>
      </c>
      <c r="D45" s="2" t="s">
        <v>37</v>
      </c>
      <c r="E45" s="2" t="s">
        <v>142</v>
      </c>
      <c r="F45" s="46">
        <v>72000</v>
      </c>
    </row>
    <row r="46" spans="1:6" x14ac:dyDescent="0.3">
      <c r="A46" s="2" t="s">
        <v>143</v>
      </c>
      <c r="B46" s="2" t="s">
        <v>144</v>
      </c>
      <c r="C46" s="2" t="s">
        <v>20</v>
      </c>
      <c r="D46" s="2" t="s">
        <v>8</v>
      </c>
      <c r="E46" s="2" t="s">
        <v>145</v>
      </c>
      <c r="F46" s="46">
        <v>34000</v>
      </c>
    </row>
    <row r="47" spans="1:6" x14ac:dyDescent="0.3">
      <c r="A47" s="2" t="s">
        <v>146</v>
      </c>
      <c r="B47" s="2" t="s">
        <v>147</v>
      </c>
      <c r="C47" s="2" t="s">
        <v>25</v>
      </c>
      <c r="D47" s="2" t="s">
        <v>61</v>
      </c>
      <c r="E47" s="2" t="s">
        <v>62</v>
      </c>
      <c r="F47" s="46">
        <v>47500</v>
      </c>
    </row>
    <row r="48" spans="1:6" x14ac:dyDescent="0.3">
      <c r="A48" s="2" t="s">
        <v>148</v>
      </c>
      <c r="B48" s="2" t="s">
        <v>149</v>
      </c>
      <c r="C48" s="2" t="s">
        <v>15</v>
      </c>
      <c r="D48" s="2" t="s">
        <v>82</v>
      </c>
      <c r="E48" s="2" t="s">
        <v>83</v>
      </c>
      <c r="F48" s="46">
        <v>27500</v>
      </c>
    </row>
    <row r="49" spans="1:6" x14ac:dyDescent="0.3">
      <c r="A49" s="2" t="s">
        <v>150</v>
      </c>
      <c r="B49" s="2" t="s">
        <v>151</v>
      </c>
      <c r="C49" s="2" t="s">
        <v>7</v>
      </c>
      <c r="D49" s="2" t="s">
        <v>8</v>
      </c>
      <c r="E49" s="2" t="s">
        <v>152</v>
      </c>
      <c r="F49" s="46">
        <v>64000</v>
      </c>
    </row>
    <row r="50" spans="1:6" x14ac:dyDescent="0.3">
      <c r="A50" s="2" t="s">
        <v>153</v>
      </c>
      <c r="B50" s="2" t="s">
        <v>154</v>
      </c>
      <c r="C50" s="2" t="s">
        <v>46</v>
      </c>
      <c r="D50" s="2" t="s">
        <v>47</v>
      </c>
      <c r="E50" s="2" t="s">
        <v>48</v>
      </c>
      <c r="F50" s="46">
        <v>37500</v>
      </c>
    </row>
    <row r="51" spans="1:6" x14ac:dyDescent="0.3">
      <c r="A51" s="2" t="s">
        <v>155</v>
      </c>
      <c r="B51" s="2" t="s">
        <v>156</v>
      </c>
      <c r="C51" s="2" t="s">
        <v>7</v>
      </c>
      <c r="D51" s="2" t="s">
        <v>112</v>
      </c>
      <c r="E51" s="2" t="s">
        <v>157</v>
      </c>
      <c r="F51" s="46">
        <v>26500</v>
      </c>
    </row>
    <row r="52" spans="1:6" x14ac:dyDescent="0.3">
      <c r="A52" s="2" t="s">
        <v>158</v>
      </c>
      <c r="B52" s="2" t="s">
        <v>159</v>
      </c>
      <c r="C52" s="2" t="s">
        <v>73</v>
      </c>
      <c r="D52" s="2" t="s">
        <v>21</v>
      </c>
      <c r="E52" s="2" t="s">
        <v>160</v>
      </c>
      <c r="F52" s="46">
        <v>30000</v>
      </c>
    </row>
    <row r="53" spans="1:6" x14ac:dyDescent="0.3">
      <c r="A53" s="2" t="s">
        <v>161</v>
      </c>
      <c r="B53" s="2" t="s">
        <v>162</v>
      </c>
      <c r="C53" s="2" t="s">
        <v>15</v>
      </c>
      <c r="D53" s="2" t="s">
        <v>37</v>
      </c>
      <c r="E53" s="2" t="s">
        <v>58</v>
      </c>
      <c r="F53" s="46">
        <v>46000</v>
      </c>
    </row>
    <row r="54" spans="1:6" x14ac:dyDescent="0.3">
      <c r="A54" s="2" t="s">
        <v>163</v>
      </c>
      <c r="B54" s="2" t="s">
        <v>164</v>
      </c>
      <c r="C54" s="2" t="s">
        <v>33</v>
      </c>
      <c r="D54" s="2" t="s">
        <v>77</v>
      </c>
      <c r="E54" s="2" t="s">
        <v>165</v>
      </c>
      <c r="F54" s="46">
        <v>77500</v>
      </c>
    </row>
    <row r="55" spans="1:6" x14ac:dyDescent="0.3">
      <c r="A55" s="2" t="s">
        <v>166</v>
      </c>
      <c r="B55" s="2" t="s">
        <v>167</v>
      </c>
      <c r="C55" s="2" t="s">
        <v>81</v>
      </c>
      <c r="D55" s="2" t="s">
        <v>82</v>
      </c>
      <c r="E55" s="2" t="s">
        <v>83</v>
      </c>
      <c r="F55" s="46">
        <v>24500</v>
      </c>
    </row>
    <row r="56" spans="1:6" x14ac:dyDescent="0.3">
      <c r="A56" s="2" t="s">
        <v>168</v>
      </c>
      <c r="B56" s="2" t="s">
        <v>169</v>
      </c>
      <c r="C56" s="2" t="s">
        <v>33</v>
      </c>
      <c r="D56" s="2" t="s">
        <v>77</v>
      </c>
      <c r="E56" s="2" t="s">
        <v>165</v>
      </c>
      <c r="F56" s="46">
        <v>69500</v>
      </c>
    </row>
    <row r="57" spans="1:6" x14ac:dyDescent="0.3">
      <c r="A57" s="2" t="s">
        <v>170</v>
      </c>
      <c r="B57" s="2" t="s">
        <v>171</v>
      </c>
      <c r="C57" s="2" t="s">
        <v>33</v>
      </c>
      <c r="D57" s="2" t="s">
        <v>61</v>
      </c>
      <c r="E57" s="2" t="s">
        <v>122</v>
      </c>
      <c r="F57" s="46">
        <v>41500</v>
      </c>
    </row>
    <row r="58" spans="1:6" x14ac:dyDescent="0.3">
      <c r="A58" s="2" t="s">
        <v>172</v>
      </c>
      <c r="B58" s="2" t="s">
        <v>173</v>
      </c>
      <c r="C58" s="2" t="s">
        <v>57</v>
      </c>
      <c r="D58" s="2" t="s">
        <v>61</v>
      </c>
      <c r="E58" s="2" t="s">
        <v>174</v>
      </c>
      <c r="F58" s="46">
        <v>41000</v>
      </c>
    </row>
    <row r="59" spans="1:6" x14ac:dyDescent="0.3">
      <c r="A59" s="2" t="s">
        <v>175</v>
      </c>
      <c r="B59" s="2" t="s">
        <v>176</v>
      </c>
      <c r="C59" s="2" t="s">
        <v>41</v>
      </c>
      <c r="D59" s="2" t="s">
        <v>118</v>
      </c>
      <c r="E59" s="2" t="s">
        <v>177</v>
      </c>
      <c r="F59" s="46">
        <v>35500</v>
      </c>
    </row>
    <row r="60" spans="1:6" x14ac:dyDescent="0.3">
      <c r="A60" s="2" t="s">
        <v>178</v>
      </c>
      <c r="B60" s="2" t="s">
        <v>179</v>
      </c>
      <c r="C60" s="2" t="s">
        <v>41</v>
      </c>
      <c r="D60" s="2" t="s">
        <v>8</v>
      </c>
      <c r="E60" s="2" t="s">
        <v>9</v>
      </c>
      <c r="F60" s="46">
        <v>22000</v>
      </c>
    </row>
    <row r="61" spans="1:6" x14ac:dyDescent="0.3">
      <c r="A61" s="2" t="s">
        <v>180</v>
      </c>
      <c r="B61" s="2" t="s">
        <v>181</v>
      </c>
      <c r="C61" s="2" t="s">
        <v>15</v>
      </c>
      <c r="D61" s="2" t="s">
        <v>77</v>
      </c>
      <c r="E61" s="2" t="s">
        <v>165</v>
      </c>
      <c r="F61" s="46">
        <v>74500</v>
      </c>
    </row>
    <row r="62" spans="1:6" x14ac:dyDescent="0.3">
      <c r="A62" s="2" t="s">
        <v>182</v>
      </c>
      <c r="B62" s="2" t="s">
        <v>183</v>
      </c>
      <c r="C62" s="2" t="s">
        <v>57</v>
      </c>
      <c r="D62" s="2" t="s">
        <v>47</v>
      </c>
      <c r="E62" s="2" t="s">
        <v>48</v>
      </c>
      <c r="F62" s="46">
        <v>43500</v>
      </c>
    </row>
    <row r="63" spans="1:6" x14ac:dyDescent="0.3">
      <c r="A63" s="2" t="s">
        <v>184</v>
      </c>
      <c r="B63" s="2" t="s">
        <v>185</v>
      </c>
      <c r="C63" s="2" t="s">
        <v>33</v>
      </c>
      <c r="D63" s="2" t="s">
        <v>42</v>
      </c>
      <c r="E63" s="2" t="s">
        <v>105</v>
      </c>
      <c r="F63" s="46">
        <v>35500</v>
      </c>
    </row>
    <row r="64" spans="1:6" x14ac:dyDescent="0.3">
      <c r="A64" s="2" t="s">
        <v>186</v>
      </c>
      <c r="B64" s="2" t="s">
        <v>187</v>
      </c>
      <c r="C64" s="2" t="s">
        <v>81</v>
      </c>
      <c r="D64" s="2" t="s">
        <v>77</v>
      </c>
      <c r="E64" s="2" t="s">
        <v>78</v>
      </c>
      <c r="F64" s="46">
        <v>34000</v>
      </c>
    </row>
    <row r="65" spans="1:6" x14ac:dyDescent="0.3">
      <c r="A65" s="2" t="s">
        <v>188</v>
      </c>
      <c r="B65" s="2" t="s">
        <v>189</v>
      </c>
      <c r="C65" s="2" t="s">
        <v>57</v>
      </c>
      <c r="D65" s="2" t="s">
        <v>118</v>
      </c>
      <c r="E65" s="2" t="s">
        <v>190</v>
      </c>
      <c r="F65" s="46">
        <v>22000</v>
      </c>
    </row>
    <row r="66" spans="1:6" x14ac:dyDescent="0.3">
      <c r="A66" s="2" t="s">
        <v>191</v>
      </c>
      <c r="B66" s="2" t="s">
        <v>192</v>
      </c>
      <c r="C66" s="2" t="s">
        <v>57</v>
      </c>
      <c r="D66" s="2" t="s">
        <v>77</v>
      </c>
      <c r="E66" s="2" t="s">
        <v>102</v>
      </c>
      <c r="F66" s="46">
        <v>26000</v>
      </c>
    </row>
    <row r="67" spans="1:6" x14ac:dyDescent="0.3">
      <c r="A67" s="2" t="s">
        <v>193</v>
      </c>
      <c r="B67" s="2" t="s">
        <v>194</v>
      </c>
      <c r="C67" s="2" t="s">
        <v>25</v>
      </c>
      <c r="D67" s="2" t="s">
        <v>77</v>
      </c>
      <c r="E67" s="2" t="s">
        <v>165</v>
      </c>
      <c r="F67" s="46">
        <v>79500</v>
      </c>
    </row>
    <row r="68" spans="1:6" x14ac:dyDescent="0.3">
      <c r="A68" s="2" t="s">
        <v>195</v>
      </c>
      <c r="B68" s="2" t="s">
        <v>196</v>
      </c>
      <c r="C68" s="2" t="s">
        <v>33</v>
      </c>
      <c r="D68" s="2" t="s">
        <v>77</v>
      </c>
      <c r="E68" s="2" t="s">
        <v>165</v>
      </c>
      <c r="F68" s="46">
        <v>82000</v>
      </c>
    </row>
    <row r="69" spans="1:6" x14ac:dyDescent="0.3">
      <c r="A69" s="2" t="s">
        <v>197</v>
      </c>
      <c r="B69" s="2" t="s">
        <v>198</v>
      </c>
      <c r="C69" s="2" t="s">
        <v>15</v>
      </c>
      <c r="D69" s="2" t="s">
        <v>21</v>
      </c>
      <c r="E69" s="2" t="s">
        <v>22</v>
      </c>
      <c r="F69" s="46">
        <v>25000</v>
      </c>
    </row>
    <row r="70" spans="1:6" x14ac:dyDescent="0.3">
      <c r="A70" s="2" t="s">
        <v>199</v>
      </c>
      <c r="B70" s="2" t="s">
        <v>200</v>
      </c>
      <c r="C70" s="2" t="s">
        <v>57</v>
      </c>
      <c r="D70" s="2" t="s">
        <v>37</v>
      </c>
      <c r="E70" s="2" t="s">
        <v>51</v>
      </c>
      <c r="F70" s="46">
        <v>40000</v>
      </c>
    </row>
    <row r="71" spans="1:6" x14ac:dyDescent="0.3">
      <c r="A71" s="2" t="s">
        <v>201</v>
      </c>
      <c r="B71" s="2" t="s">
        <v>202</v>
      </c>
      <c r="C71" s="2" t="s">
        <v>81</v>
      </c>
      <c r="D71" s="2" t="s">
        <v>82</v>
      </c>
      <c r="E71" s="2" t="s">
        <v>203</v>
      </c>
      <c r="F71" s="46">
        <v>79000</v>
      </c>
    </row>
    <row r="72" spans="1:6" x14ac:dyDescent="0.3">
      <c r="A72" s="2" t="s">
        <v>204</v>
      </c>
      <c r="B72" s="2" t="s">
        <v>205</v>
      </c>
      <c r="C72" s="2" t="s">
        <v>20</v>
      </c>
      <c r="D72" s="2" t="s">
        <v>37</v>
      </c>
      <c r="E72" s="2" t="s">
        <v>142</v>
      </c>
      <c r="F72" s="46">
        <v>87500</v>
      </c>
    </row>
    <row r="73" spans="1:6" x14ac:dyDescent="0.3">
      <c r="A73" s="2" t="s">
        <v>206</v>
      </c>
      <c r="B73" s="2" t="s">
        <v>207</v>
      </c>
      <c r="C73" s="2" t="s">
        <v>15</v>
      </c>
      <c r="D73" s="2" t="s">
        <v>37</v>
      </c>
      <c r="E73" s="2" t="s">
        <v>142</v>
      </c>
      <c r="F73" s="46">
        <v>62000</v>
      </c>
    </row>
    <row r="74" spans="1:6" x14ac:dyDescent="0.3">
      <c r="A74" s="2" t="s">
        <v>208</v>
      </c>
      <c r="B74" s="2" t="s">
        <v>209</v>
      </c>
      <c r="C74" s="2" t="s">
        <v>46</v>
      </c>
      <c r="D74" s="2" t="s">
        <v>8</v>
      </c>
      <c r="E74" s="2" t="s">
        <v>9</v>
      </c>
      <c r="F74" s="46">
        <v>27500</v>
      </c>
    </row>
    <row r="75" spans="1:6" x14ac:dyDescent="0.3">
      <c r="A75" s="2" t="s">
        <v>210</v>
      </c>
      <c r="B75" s="2" t="s">
        <v>211</v>
      </c>
      <c r="C75" s="2" t="s">
        <v>20</v>
      </c>
      <c r="D75" s="2" t="s">
        <v>37</v>
      </c>
      <c r="E75" s="2" t="s">
        <v>51</v>
      </c>
      <c r="F75" s="46">
        <v>36000</v>
      </c>
    </row>
    <row r="76" spans="1:6" x14ac:dyDescent="0.3">
      <c r="A76" s="2" t="s">
        <v>212</v>
      </c>
      <c r="B76" s="2" t="s">
        <v>213</v>
      </c>
      <c r="C76" s="2" t="s">
        <v>20</v>
      </c>
      <c r="D76" s="2" t="s">
        <v>16</v>
      </c>
      <c r="E76" s="2" t="s">
        <v>17</v>
      </c>
      <c r="F76" s="46">
        <v>42500</v>
      </c>
    </row>
    <row r="77" spans="1:6" x14ac:dyDescent="0.3">
      <c r="A77" s="2" t="s">
        <v>214</v>
      </c>
      <c r="B77" s="2" t="s">
        <v>215</v>
      </c>
      <c r="C77" s="2" t="s">
        <v>73</v>
      </c>
      <c r="D77" s="2" t="s">
        <v>29</v>
      </c>
      <c r="E77" s="2" t="s">
        <v>216</v>
      </c>
      <c r="F77" s="46">
        <v>28000</v>
      </c>
    </row>
    <row r="78" spans="1:6" x14ac:dyDescent="0.3">
      <c r="A78" s="2" t="s">
        <v>217</v>
      </c>
      <c r="B78" s="2" t="s">
        <v>218</v>
      </c>
      <c r="C78" s="2" t="s">
        <v>7</v>
      </c>
      <c r="D78" s="2" t="s">
        <v>77</v>
      </c>
      <c r="E78" s="2" t="s">
        <v>219</v>
      </c>
      <c r="F78" s="46">
        <v>46500</v>
      </c>
    </row>
    <row r="79" spans="1:6" x14ac:dyDescent="0.3">
      <c r="A79" s="2" t="s">
        <v>220</v>
      </c>
      <c r="B79" s="2" t="s">
        <v>221</v>
      </c>
      <c r="C79" s="2" t="s">
        <v>73</v>
      </c>
      <c r="D79" s="2" t="s">
        <v>37</v>
      </c>
      <c r="E79" s="2" t="s">
        <v>38</v>
      </c>
      <c r="F79" s="46">
        <v>29500</v>
      </c>
    </row>
    <row r="80" spans="1:6" x14ac:dyDescent="0.3">
      <c r="A80" s="2" t="s">
        <v>222</v>
      </c>
      <c r="B80" s="2" t="s">
        <v>223</v>
      </c>
      <c r="C80" s="2" t="s">
        <v>20</v>
      </c>
      <c r="D80" s="2" t="s">
        <v>77</v>
      </c>
      <c r="E80" s="2" t="s">
        <v>78</v>
      </c>
      <c r="F80" s="46">
        <v>29500</v>
      </c>
    </row>
    <row r="81" spans="1:6" x14ac:dyDescent="0.3">
      <c r="A81" s="2" t="s">
        <v>224</v>
      </c>
      <c r="B81" s="2" t="s">
        <v>225</v>
      </c>
      <c r="C81" s="2" t="s">
        <v>41</v>
      </c>
      <c r="D81" s="2" t="s">
        <v>16</v>
      </c>
      <c r="E81" s="2" t="s">
        <v>86</v>
      </c>
      <c r="F81" s="46">
        <v>40500</v>
      </c>
    </row>
    <row r="82" spans="1:6" x14ac:dyDescent="0.3">
      <c r="A82" s="2" t="s">
        <v>226</v>
      </c>
      <c r="B82" s="2" t="s">
        <v>227</v>
      </c>
      <c r="C82" s="2" t="s">
        <v>81</v>
      </c>
      <c r="D82" s="2" t="s">
        <v>21</v>
      </c>
      <c r="E82" s="2" t="s">
        <v>91</v>
      </c>
      <c r="F82" s="46">
        <v>32500</v>
      </c>
    </row>
    <row r="83" spans="1:6" x14ac:dyDescent="0.3">
      <c r="A83" s="2" t="s">
        <v>228</v>
      </c>
      <c r="B83" s="2" t="s">
        <v>229</v>
      </c>
      <c r="C83" s="2" t="s">
        <v>57</v>
      </c>
      <c r="D83" s="2" t="s">
        <v>16</v>
      </c>
      <c r="E83" s="2" t="s">
        <v>230</v>
      </c>
      <c r="F83" s="46">
        <v>64500</v>
      </c>
    </row>
    <row r="84" spans="1:6" x14ac:dyDescent="0.3">
      <c r="A84" s="2" t="s">
        <v>231</v>
      </c>
      <c r="B84" s="2" t="s">
        <v>232</v>
      </c>
      <c r="C84" s="2" t="s">
        <v>41</v>
      </c>
      <c r="D84" s="2" t="s">
        <v>61</v>
      </c>
      <c r="E84" s="2" t="s">
        <v>233</v>
      </c>
      <c r="F84" s="46">
        <v>92500</v>
      </c>
    </row>
    <row r="85" spans="1:6" x14ac:dyDescent="0.3">
      <c r="A85" s="2" t="s">
        <v>234</v>
      </c>
      <c r="B85" s="2" t="s">
        <v>235</v>
      </c>
      <c r="C85" s="2" t="s">
        <v>15</v>
      </c>
      <c r="D85" s="2" t="s">
        <v>112</v>
      </c>
      <c r="E85" s="2" t="s">
        <v>236</v>
      </c>
      <c r="F85" s="46">
        <v>42000</v>
      </c>
    </row>
    <row r="86" spans="1:6" x14ac:dyDescent="0.3">
      <c r="A86" s="2" t="s">
        <v>237</v>
      </c>
      <c r="B86" s="2" t="s">
        <v>238</v>
      </c>
      <c r="C86" s="2" t="s">
        <v>46</v>
      </c>
      <c r="D86" s="2" t="s">
        <v>8</v>
      </c>
      <c r="E86" s="2" t="s">
        <v>152</v>
      </c>
      <c r="F86" s="46">
        <v>55500</v>
      </c>
    </row>
    <row r="87" spans="1:6" x14ac:dyDescent="0.3">
      <c r="A87" s="2" t="s">
        <v>239</v>
      </c>
      <c r="B87" s="2" t="s">
        <v>240</v>
      </c>
      <c r="C87" s="2" t="s">
        <v>25</v>
      </c>
      <c r="D87" s="2" t="s">
        <v>16</v>
      </c>
      <c r="E87" s="2" t="s">
        <v>17</v>
      </c>
      <c r="F87" s="46">
        <v>49000</v>
      </c>
    </row>
    <row r="88" spans="1:6" x14ac:dyDescent="0.3">
      <c r="A88" s="2" t="s">
        <v>241</v>
      </c>
      <c r="B88" s="2" t="s">
        <v>242</v>
      </c>
      <c r="C88" s="2" t="s">
        <v>25</v>
      </c>
      <c r="D88" s="2" t="s">
        <v>82</v>
      </c>
      <c r="E88" s="2" t="s">
        <v>203</v>
      </c>
      <c r="F88" s="46">
        <v>70500</v>
      </c>
    </row>
    <row r="89" spans="1:6" x14ac:dyDescent="0.3">
      <c r="A89" s="2" t="s">
        <v>243</v>
      </c>
      <c r="B89" s="2" t="s">
        <v>244</v>
      </c>
      <c r="C89" s="2" t="s">
        <v>41</v>
      </c>
      <c r="D89" s="2" t="s">
        <v>77</v>
      </c>
      <c r="E89" s="2" t="s">
        <v>102</v>
      </c>
      <c r="F89" s="46">
        <v>33000</v>
      </c>
    </row>
    <row r="90" spans="1:6" x14ac:dyDescent="0.3">
      <c r="A90" s="2" t="s">
        <v>245</v>
      </c>
      <c r="B90" s="2" t="s">
        <v>246</v>
      </c>
      <c r="C90" s="2" t="s">
        <v>73</v>
      </c>
      <c r="D90" s="2" t="s">
        <v>77</v>
      </c>
      <c r="E90" s="2" t="s">
        <v>165</v>
      </c>
      <c r="F90" s="46">
        <v>65500</v>
      </c>
    </row>
    <row r="91" spans="1:6" x14ac:dyDescent="0.3">
      <c r="A91" s="2" t="s">
        <v>247</v>
      </c>
      <c r="B91" s="2" t="s">
        <v>248</v>
      </c>
      <c r="C91" s="2" t="s">
        <v>73</v>
      </c>
      <c r="D91" s="2" t="s">
        <v>42</v>
      </c>
      <c r="E91" s="2" t="s">
        <v>43</v>
      </c>
      <c r="F91" s="46">
        <v>43500</v>
      </c>
    </row>
    <row r="92" spans="1:6" x14ac:dyDescent="0.3">
      <c r="A92" s="2" t="s">
        <v>249</v>
      </c>
      <c r="B92" s="2" t="s">
        <v>250</v>
      </c>
      <c r="C92" s="2" t="s">
        <v>20</v>
      </c>
      <c r="D92" s="2" t="s">
        <v>77</v>
      </c>
      <c r="E92" s="2" t="s">
        <v>165</v>
      </c>
      <c r="F92" s="46">
        <v>72500</v>
      </c>
    </row>
    <row r="93" spans="1:6" x14ac:dyDescent="0.3">
      <c r="A93" s="2" t="s">
        <v>251</v>
      </c>
      <c r="B93" s="2" t="s">
        <v>252</v>
      </c>
      <c r="C93" s="2" t="s">
        <v>33</v>
      </c>
      <c r="D93" s="2" t="s">
        <v>42</v>
      </c>
      <c r="E93" s="2" t="s">
        <v>137</v>
      </c>
      <c r="F93" s="46">
        <v>32500</v>
      </c>
    </row>
    <row r="94" spans="1:6" x14ac:dyDescent="0.3">
      <c r="A94" s="2" t="s">
        <v>253</v>
      </c>
      <c r="B94" s="2" t="s">
        <v>254</v>
      </c>
      <c r="C94" s="2" t="s">
        <v>33</v>
      </c>
      <c r="D94" s="2" t="s">
        <v>8</v>
      </c>
      <c r="E94" s="2" t="s">
        <v>152</v>
      </c>
      <c r="F94" s="46">
        <v>57000</v>
      </c>
    </row>
    <row r="95" spans="1:6" x14ac:dyDescent="0.3">
      <c r="A95" s="2" t="s">
        <v>255</v>
      </c>
      <c r="B95" s="2" t="s">
        <v>256</v>
      </c>
      <c r="C95" s="2" t="s">
        <v>15</v>
      </c>
      <c r="D95" s="2" t="s">
        <v>118</v>
      </c>
      <c r="E95" s="2" t="s">
        <v>119</v>
      </c>
      <c r="F95" s="46">
        <v>21500</v>
      </c>
    </row>
    <row r="96" spans="1:6" x14ac:dyDescent="0.3">
      <c r="A96" s="2" t="s">
        <v>257</v>
      </c>
      <c r="B96" s="2" t="s">
        <v>258</v>
      </c>
      <c r="C96" s="2" t="s">
        <v>57</v>
      </c>
      <c r="D96" s="2" t="s">
        <v>37</v>
      </c>
      <c r="E96" s="2" t="s">
        <v>142</v>
      </c>
      <c r="F96" s="46">
        <v>90000</v>
      </c>
    </row>
    <row r="97" spans="1:6" x14ac:dyDescent="0.3">
      <c r="A97" s="2" t="s">
        <v>259</v>
      </c>
      <c r="B97" s="2" t="s">
        <v>260</v>
      </c>
      <c r="C97" s="2" t="s">
        <v>25</v>
      </c>
      <c r="D97" s="2" t="s">
        <v>42</v>
      </c>
      <c r="E97" s="2" t="s">
        <v>261</v>
      </c>
      <c r="F97" s="46">
        <v>27500</v>
      </c>
    </row>
    <row r="98" spans="1:6" x14ac:dyDescent="0.3">
      <c r="A98" s="2" t="s">
        <v>262</v>
      </c>
      <c r="B98" s="2" t="s">
        <v>263</v>
      </c>
      <c r="C98" s="2" t="s">
        <v>25</v>
      </c>
      <c r="D98" s="2" t="s">
        <v>112</v>
      </c>
      <c r="E98" s="2" t="s">
        <v>236</v>
      </c>
      <c r="F98" s="46">
        <v>35500</v>
      </c>
    </row>
    <row r="99" spans="1:6" x14ac:dyDescent="0.3">
      <c r="A99" s="2" t="s">
        <v>264</v>
      </c>
      <c r="B99" s="2" t="s">
        <v>265</v>
      </c>
      <c r="C99" s="2" t="s">
        <v>7</v>
      </c>
      <c r="D99" s="2" t="s">
        <v>61</v>
      </c>
      <c r="E99" s="2" t="s">
        <v>266</v>
      </c>
      <c r="F99" s="46">
        <v>32500</v>
      </c>
    </row>
    <row r="100" spans="1:6" x14ac:dyDescent="0.3">
      <c r="A100" s="2" t="s">
        <v>267</v>
      </c>
      <c r="B100" s="2" t="s">
        <v>268</v>
      </c>
      <c r="C100" s="2" t="s">
        <v>73</v>
      </c>
      <c r="D100" s="2" t="s">
        <v>29</v>
      </c>
      <c r="E100" s="2" t="s">
        <v>34</v>
      </c>
      <c r="F100" s="46">
        <v>24000</v>
      </c>
    </row>
    <row r="101" spans="1:6" x14ac:dyDescent="0.3">
      <c r="A101" s="2" t="s">
        <v>269</v>
      </c>
      <c r="B101" s="2" t="s">
        <v>270</v>
      </c>
      <c r="C101" s="2" t="s">
        <v>41</v>
      </c>
      <c r="D101" s="2" t="s">
        <v>112</v>
      </c>
      <c r="E101" s="2" t="s">
        <v>236</v>
      </c>
      <c r="F101" s="46">
        <v>39000</v>
      </c>
    </row>
    <row r="102" spans="1:6" x14ac:dyDescent="0.3">
      <c r="A102" s="2" t="s">
        <v>271</v>
      </c>
      <c r="B102" s="2" t="s">
        <v>272</v>
      </c>
      <c r="C102" s="2" t="s">
        <v>33</v>
      </c>
      <c r="D102" s="2" t="s">
        <v>37</v>
      </c>
      <c r="E102" s="2" t="s">
        <v>142</v>
      </c>
      <c r="F102" s="46">
        <v>63500</v>
      </c>
    </row>
    <row r="103" spans="1:6" x14ac:dyDescent="0.3">
      <c r="A103" s="2" t="s">
        <v>273</v>
      </c>
      <c r="B103" s="2" t="s">
        <v>274</v>
      </c>
      <c r="C103" s="2" t="s">
        <v>20</v>
      </c>
      <c r="D103" s="2" t="s">
        <v>16</v>
      </c>
      <c r="E103" s="2" t="s">
        <v>86</v>
      </c>
      <c r="F103" s="46">
        <v>44500</v>
      </c>
    </row>
    <row r="104" spans="1:6" x14ac:dyDescent="0.3">
      <c r="A104" s="2" t="s">
        <v>275</v>
      </c>
      <c r="B104" s="2" t="s">
        <v>276</v>
      </c>
      <c r="C104" s="2" t="s">
        <v>41</v>
      </c>
      <c r="D104" s="2" t="s">
        <v>16</v>
      </c>
      <c r="E104" s="2" t="s">
        <v>86</v>
      </c>
      <c r="F104" s="46">
        <v>30000</v>
      </c>
    </row>
    <row r="105" spans="1:6" x14ac:dyDescent="0.3">
      <c r="A105" s="2" t="s">
        <v>277</v>
      </c>
      <c r="B105" s="2" t="s">
        <v>278</v>
      </c>
      <c r="C105" s="2" t="s">
        <v>41</v>
      </c>
      <c r="D105" s="2" t="s">
        <v>112</v>
      </c>
      <c r="E105" s="2" t="s">
        <v>236</v>
      </c>
      <c r="F105" s="46">
        <v>30000</v>
      </c>
    </row>
    <row r="106" spans="1:6" x14ac:dyDescent="0.3">
      <c r="A106" s="2" t="s">
        <v>279</v>
      </c>
      <c r="B106" s="2" t="s">
        <v>280</v>
      </c>
      <c r="C106" s="2" t="s">
        <v>41</v>
      </c>
      <c r="D106" s="2" t="s">
        <v>47</v>
      </c>
      <c r="E106" s="2" t="s">
        <v>129</v>
      </c>
      <c r="F106" s="46">
        <v>71500</v>
      </c>
    </row>
    <row r="107" spans="1:6" x14ac:dyDescent="0.3">
      <c r="A107" s="2" t="s">
        <v>281</v>
      </c>
      <c r="B107" s="2" t="s">
        <v>282</v>
      </c>
      <c r="C107" s="2" t="s">
        <v>46</v>
      </c>
      <c r="D107" s="2" t="s">
        <v>42</v>
      </c>
      <c r="E107" s="2" t="s">
        <v>283</v>
      </c>
      <c r="F107" s="46">
        <v>53500</v>
      </c>
    </row>
    <row r="108" spans="1:6" x14ac:dyDescent="0.3">
      <c r="A108" s="2" t="s">
        <v>284</v>
      </c>
      <c r="B108" s="2" t="s">
        <v>285</v>
      </c>
      <c r="C108" s="2" t="s">
        <v>57</v>
      </c>
      <c r="D108" s="2" t="s">
        <v>37</v>
      </c>
      <c r="E108" s="2" t="s">
        <v>58</v>
      </c>
      <c r="F108" s="46">
        <v>53500</v>
      </c>
    </row>
    <row r="109" spans="1:6" x14ac:dyDescent="0.3">
      <c r="A109" s="2" t="s">
        <v>286</v>
      </c>
      <c r="B109" s="2" t="s">
        <v>287</v>
      </c>
      <c r="C109" s="2" t="s">
        <v>7</v>
      </c>
      <c r="D109" s="2" t="s">
        <v>61</v>
      </c>
      <c r="E109" s="2" t="s">
        <v>62</v>
      </c>
      <c r="F109" s="46">
        <v>36500</v>
      </c>
    </row>
    <row r="110" spans="1:6" x14ac:dyDescent="0.3">
      <c r="A110" s="2" t="s">
        <v>288</v>
      </c>
      <c r="B110" s="2" t="s">
        <v>289</v>
      </c>
      <c r="C110" s="2" t="s">
        <v>81</v>
      </c>
      <c r="D110" s="2" t="s">
        <v>42</v>
      </c>
      <c r="E110" s="2" t="s">
        <v>283</v>
      </c>
      <c r="F110" s="46">
        <v>59000</v>
      </c>
    </row>
    <row r="111" spans="1:6" x14ac:dyDescent="0.3">
      <c r="A111" s="2" t="s">
        <v>290</v>
      </c>
      <c r="B111" s="2" t="s">
        <v>291</v>
      </c>
      <c r="C111" s="2" t="s">
        <v>25</v>
      </c>
      <c r="D111" s="2" t="s">
        <v>29</v>
      </c>
      <c r="E111" s="2" t="s">
        <v>34</v>
      </c>
      <c r="F111" s="46">
        <v>28000</v>
      </c>
    </row>
    <row r="112" spans="1:6" x14ac:dyDescent="0.3">
      <c r="A112" s="2" t="s">
        <v>292</v>
      </c>
      <c r="B112" s="2" t="s">
        <v>293</v>
      </c>
      <c r="C112" s="2" t="s">
        <v>57</v>
      </c>
      <c r="D112" s="2" t="s">
        <v>8</v>
      </c>
      <c r="E112" s="2" t="s">
        <v>152</v>
      </c>
      <c r="F112" s="46">
        <v>76500</v>
      </c>
    </row>
    <row r="113" spans="1:6" x14ac:dyDescent="0.3">
      <c r="A113" s="2" t="s">
        <v>294</v>
      </c>
      <c r="B113" s="2" t="s">
        <v>295</v>
      </c>
      <c r="C113" s="2" t="s">
        <v>73</v>
      </c>
      <c r="D113" s="2" t="s">
        <v>8</v>
      </c>
      <c r="E113" s="2" t="s">
        <v>152</v>
      </c>
      <c r="F113" s="46">
        <v>61500</v>
      </c>
    </row>
    <row r="114" spans="1:6" x14ac:dyDescent="0.3">
      <c r="A114" s="2" t="s">
        <v>296</v>
      </c>
      <c r="B114" s="2" t="s">
        <v>297</v>
      </c>
      <c r="C114" s="2" t="s">
        <v>81</v>
      </c>
      <c r="D114" s="2" t="s">
        <v>8</v>
      </c>
      <c r="E114" s="2" t="s">
        <v>96</v>
      </c>
      <c r="F114" s="46">
        <v>43000</v>
      </c>
    </row>
    <row r="115" spans="1:6" x14ac:dyDescent="0.3">
      <c r="A115" s="2" t="s">
        <v>298</v>
      </c>
      <c r="B115" s="2" t="s">
        <v>299</v>
      </c>
      <c r="C115" s="2" t="s">
        <v>7</v>
      </c>
      <c r="D115" s="2" t="s">
        <v>29</v>
      </c>
      <c r="E115" s="2" t="s">
        <v>216</v>
      </c>
      <c r="F115" s="46">
        <v>30500</v>
      </c>
    </row>
    <row r="116" spans="1:6" x14ac:dyDescent="0.3">
      <c r="A116" s="2" t="s">
        <v>300</v>
      </c>
      <c r="B116" s="2" t="s">
        <v>301</v>
      </c>
      <c r="C116" s="2" t="s">
        <v>41</v>
      </c>
      <c r="D116" s="2" t="s">
        <v>77</v>
      </c>
      <c r="E116" s="2" t="s">
        <v>78</v>
      </c>
      <c r="F116" s="46">
        <v>26000</v>
      </c>
    </row>
    <row r="117" spans="1:6" x14ac:dyDescent="0.3">
      <c r="A117" s="2" t="s">
        <v>302</v>
      </c>
      <c r="B117" s="2" t="s">
        <v>303</v>
      </c>
      <c r="C117" s="2" t="s">
        <v>7</v>
      </c>
      <c r="D117" s="2" t="s">
        <v>118</v>
      </c>
      <c r="E117" s="2" t="s">
        <v>304</v>
      </c>
      <c r="F117" s="46">
        <v>60000</v>
      </c>
    </row>
    <row r="118" spans="1:6" x14ac:dyDescent="0.3">
      <c r="A118" s="2" t="s">
        <v>305</v>
      </c>
      <c r="B118" s="2" t="s">
        <v>306</v>
      </c>
      <c r="C118" s="2" t="s">
        <v>25</v>
      </c>
      <c r="D118" s="2" t="s">
        <v>82</v>
      </c>
      <c r="E118" s="2" t="s">
        <v>83</v>
      </c>
      <c r="F118" s="46">
        <v>23500</v>
      </c>
    </row>
    <row r="119" spans="1:6" x14ac:dyDescent="0.3">
      <c r="A119" s="2" t="s">
        <v>307</v>
      </c>
      <c r="B119" s="2" t="s">
        <v>308</v>
      </c>
      <c r="C119" s="2" t="s">
        <v>81</v>
      </c>
      <c r="D119" s="2" t="s">
        <v>82</v>
      </c>
      <c r="E119" s="2" t="s">
        <v>309</v>
      </c>
      <c r="F119" s="46">
        <v>35000</v>
      </c>
    </row>
    <row r="120" spans="1:6" x14ac:dyDescent="0.3">
      <c r="A120" s="2" t="s">
        <v>310</v>
      </c>
      <c r="B120" s="2" t="s">
        <v>311</v>
      </c>
      <c r="C120" s="2" t="s">
        <v>81</v>
      </c>
      <c r="D120" s="2" t="s">
        <v>16</v>
      </c>
      <c r="E120" s="2" t="s">
        <v>17</v>
      </c>
      <c r="F120" s="46">
        <v>38000</v>
      </c>
    </row>
    <row r="121" spans="1:6" x14ac:dyDescent="0.3">
      <c r="A121" s="2" t="s">
        <v>312</v>
      </c>
      <c r="B121" s="2" t="s">
        <v>313</v>
      </c>
      <c r="C121" s="2" t="s">
        <v>46</v>
      </c>
      <c r="D121" s="2" t="s">
        <v>37</v>
      </c>
      <c r="E121" s="2" t="s">
        <v>58</v>
      </c>
      <c r="F121" s="46">
        <v>55000</v>
      </c>
    </row>
    <row r="122" spans="1:6" x14ac:dyDescent="0.3">
      <c r="A122" s="2" t="s">
        <v>314</v>
      </c>
      <c r="B122" s="2" t="s">
        <v>315</v>
      </c>
      <c r="C122" s="2" t="s">
        <v>33</v>
      </c>
      <c r="D122" s="2" t="s">
        <v>112</v>
      </c>
      <c r="E122" s="2" t="s">
        <v>157</v>
      </c>
      <c r="F122" s="46">
        <v>32500</v>
      </c>
    </row>
    <row r="123" spans="1:6" x14ac:dyDescent="0.3">
      <c r="A123" s="2" t="s">
        <v>316</v>
      </c>
      <c r="B123" s="2" t="s">
        <v>317</v>
      </c>
      <c r="C123" s="2" t="s">
        <v>81</v>
      </c>
      <c r="D123" s="2" t="s">
        <v>118</v>
      </c>
      <c r="E123" s="2" t="s">
        <v>190</v>
      </c>
      <c r="F123" s="46">
        <v>24000</v>
      </c>
    </row>
    <row r="124" spans="1:6" x14ac:dyDescent="0.3">
      <c r="A124" s="2" t="s">
        <v>318</v>
      </c>
      <c r="B124" s="2" t="s">
        <v>319</v>
      </c>
      <c r="C124" s="2" t="s">
        <v>33</v>
      </c>
      <c r="D124" s="2" t="s">
        <v>61</v>
      </c>
      <c r="E124" s="2" t="s">
        <v>174</v>
      </c>
      <c r="F124" s="46">
        <v>63500</v>
      </c>
    </row>
    <row r="125" spans="1:6" x14ac:dyDescent="0.3">
      <c r="A125" s="2" t="s">
        <v>320</v>
      </c>
      <c r="B125" s="2" t="s">
        <v>321</v>
      </c>
      <c r="C125" s="2" t="s">
        <v>15</v>
      </c>
      <c r="D125" s="2" t="s">
        <v>21</v>
      </c>
      <c r="E125" s="2" t="s">
        <v>26</v>
      </c>
      <c r="F125" s="46">
        <v>30000</v>
      </c>
    </row>
    <row r="126" spans="1:6" x14ac:dyDescent="0.3">
      <c r="A126" s="2" t="s">
        <v>322</v>
      </c>
      <c r="B126" s="2" t="s">
        <v>323</v>
      </c>
      <c r="C126" s="2" t="s">
        <v>81</v>
      </c>
      <c r="D126" s="2" t="s">
        <v>21</v>
      </c>
      <c r="E126" s="2" t="s">
        <v>324</v>
      </c>
      <c r="F126" s="46">
        <v>45500</v>
      </c>
    </row>
    <row r="127" spans="1:6" x14ac:dyDescent="0.3">
      <c r="A127" s="2" t="s">
        <v>325</v>
      </c>
      <c r="B127" s="2" t="s">
        <v>326</v>
      </c>
      <c r="C127" s="2" t="s">
        <v>41</v>
      </c>
      <c r="D127" s="2" t="s">
        <v>118</v>
      </c>
      <c r="E127" s="2" t="s">
        <v>190</v>
      </c>
      <c r="F127" s="46">
        <v>24000</v>
      </c>
    </row>
    <row r="128" spans="1:6" x14ac:dyDescent="0.3">
      <c r="A128" s="2" t="s">
        <v>327</v>
      </c>
      <c r="B128" s="2" t="s">
        <v>328</v>
      </c>
      <c r="C128" s="2" t="s">
        <v>81</v>
      </c>
      <c r="D128" s="2" t="s">
        <v>82</v>
      </c>
      <c r="E128" s="2" t="s">
        <v>329</v>
      </c>
      <c r="F128" s="46">
        <v>29000</v>
      </c>
    </row>
    <row r="129" spans="1:6" x14ac:dyDescent="0.3">
      <c r="A129" s="2" t="s">
        <v>330</v>
      </c>
      <c r="B129" s="2" t="s">
        <v>331</v>
      </c>
      <c r="C129" s="2" t="s">
        <v>15</v>
      </c>
      <c r="D129" s="2" t="s">
        <v>47</v>
      </c>
      <c r="E129" s="2" t="s">
        <v>67</v>
      </c>
      <c r="F129" s="46">
        <v>33000</v>
      </c>
    </row>
    <row r="130" spans="1:6" x14ac:dyDescent="0.3">
      <c r="A130" s="2" t="s">
        <v>332</v>
      </c>
      <c r="B130" s="2" t="s">
        <v>333</v>
      </c>
      <c r="C130" s="2" t="s">
        <v>7</v>
      </c>
      <c r="D130" s="2" t="s">
        <v>37</v>
      </c>
      <c r="E130" s="2" t="s">
        <v>142</v>
      </c>
      <c r="F130" s="46">
        <v>65000</v>
      </c>
    </row>
    <row r="131" spans="1:6" x14ac:dyDescent="0.3">
      <c r="A131" s="2" t="s">
        <v>334</v>
      </c>
      <c r="B131" s="2" t="s">
        <v>335</v>
      </c>
      <c r="C131" s="2" t="s">
        <v>57</v>
      </c>
      <c r="D131" s="2" t="s">
        <v>112</v>
      </c>
      <c r="E131" s="2" t="s">
        <v>236</v>
      </c>
      <c r="F131" s="46">
        <v>38000</v>
      </c>
    </row>
    <row r="132" spans="1:6" x14ac:dyDescent="0.3">
      <c r="A132" s="2" t="s">
        <v>336</v>
      </c>
      <c r="B132" s="2" t="s">
        <v>337</v>
      </c>
      <c r="C132" s="2" t="s">
        <v>7</v>
      </c>
      <c r="D132" s="2" t="s">
        <v>37</v>
      </c>
      <c r="E132" s="2" t="s">
        <v>51</v>
      </c>
      <c r="F132" s="46">
        <v>31500</v>
      </c>
    </row>
    <row r="133" spans="1:6" x14ac:dyDescent="0.3">
      <c r="A133" s="2" t="s">
        <v>338</v>
      </c>
      <c r="B133" s="2" t="s">
        <v>339</v>
      </c>
      <c r="C133" s="2" t="s">
        <v>57</v>
      </c>
      <c r="D133" s="2" t="s">
        <v>77</v>
      </c>
      <c r="E133" s="2" t="s">
        <v>165</v>
      </c>
      <c r="F133" s="46">
        <v>84500</v>
      </c>
    </row>
    <row r="134" spans="1:6" x14ac:dyDescent="0.3">
      <c r="A134" s="2" t="s">
        <v>340</v>
      </c>
      <c r="B134" s="2" t="s">
        <v>341</v>
      </c>
      <c r="C134" s="2" t="s">
        <v>20</v>
      </c>
      <c r="D134" s="2" t="s">
        <v>42</v>
      </c>
      <c r="E134" s="2" t="s">
        <v>43</v>
      </c>
      <c r="F134" s="46">
        <v>36000</v>
      </c>
    </row>
    <row r="135" spans="1:6" x14ac:dyDescent="0.3">
      <c r="A135" s="2" t="s">
        <v>342</v>
      </c>
      <c r="B135" s="2" t="s">
        <v>343</v>
      </c>
      <c r="C135" s="2" t="s">
        <v>81</v>
      </c>
      <c r="D135" s="2" t="s">
        <v>16</v>
      </c>
      <c r="E135" s="2" t="s">
        <v>230</v>
      </c>
      <c r="F135" s="46">
        <v>55500</v>
      </c>
    </row>
    <row r="136" spans="1:6" x14ac:dyDescent="0.3">
      <c r="A136" s="2" t="s">
        <v>344</v>
      </c>
      <c r="B136" s="2" t="s">
        <v>345</v>
      </c>
      <c r="C136" s="2" t="s">
        <v>57</v>
      </c>
      <c r="D136" s="2" t="s">
        <v>77</v>
      </c>
      <c r="E136" s="2" t="s">
        <v>78</v>
      </c>
      <c r="F136" s="46">
        <v>28500</v>
      </c>
    </row>
    <row r="137" spans="1:6" x14ac:dyDescent="0.3">
      <c r="A137" s="2" t="s">
        <v>346</v>
      </c>
      <c r="B137" s="2" t="s">
        <v>347</v>
      </c>
      <c r="C137" s="2" t="s">
        <v>57</v>
      </c>
      <c r="D137" s="2" t="s">
        <v>21</v>
      </c>
      <c r="E137" s="2" t="s">
        <v>26</v>
      </c>
      <c r="F137" s="46">
        <v>26000</v>
      </c>
    </row>
    <row r="138" spans="1:6" x14ac:dyDescent="0.3">
      <c r="A138" s="2" t="s">
        <v>348</v>
      </c>
      <c r="B138" s="2" t="s">
        <v>349</v>
      </c>
      <c r="C138" s="2" t="s">
        <v>20</v>
      </c>
      <c r="D138" s="2" t="s">
        <v>47</v>
      </c>
      <c r="E138" s="2" t="s">
        <v>99</v>
      </c>
      <c r="F138" s="46">
        <v>33500</v>
      </c>
    </row>
    <row r="139" spans="1:6" x14ac:dyDescent="0.3">
      <c r="A139" s="2" t="s">
        <v>350</v>
      </c>
      <c r="B139" s="2" t="s">
        <v>351</v>
      </c>
      <c r="C139" s="2" t="s">
        <v>7</v>
      </c>
      <c r="D139" s="2" t="s">
        <v>16</v>
      </c>
      <c r="E139" s="2" t="s">
        <v>230</v>
      </c>
      <c r="F139" s="46">
        <v>68500</v>
      </c>
    </row>
    <row r="140" spans="1:6" x14ac:dyDescent="0.3">
      <c r="A140" s="2" t="s">
        <v>352</v>
      </c>
      <c r="B140" s="2" t="s">
        <v>353</v>
      </c>
      <c r="C140" s="2" t="s">
        <v>81</v>
      </c>
      <c r="D140" s="2" t="s">
        <v>118</v>
      </c>
      <c r="E140" s="2" t="s">
        <v>304</v>
      </c>
      <c r="F140" s="46">
        <v>66500</v>
      </c>
    </row>
    <row r="141" spans="1:6" x14ac:dyDescent="0.3">
      <c r="A141" s="2" t="s">
        <v>354</v>
      </c>
      <c r="B141" s="2" t="s">
        <v>355</v>
      </c>
      <c r="C141" s="2" t="s">
        <v>20</v>
      </c>
      <c r="D141" s="2" t="s">
        <v>42</v>
      </c>
      <c r="E141" s="2" t="s">
        <v>137</v>
      </c>
      <c r="F141" s="46">
        <v>31000</v>
      </c>
    </row>
    <row r="142" spans="1:6" x14ac:dyDescent="0.3">
      <c r="A142" s="2" t="s">
        <v>356</v>
      </c>
      <c r="B142" s="2" t="s">
        <v>357</v>
      </c>
      <c r="C142" s="2" t="s">
        <v>57</v>
      </c>
      <c r="D142" s="2" t="s">
        <v>21</v>
      </c>
      <c r="E142" s="2" t="s">
        <v>26</v>
      </c>
      <c r="F142" s="46">
        <v>24000</v>
      </c>
    </row>
    <row r="143" spans="1:6" x14ac:dyDescent="0.3">
      <c r="A143" s="2" t="s">
        <v>358</v>
      </c>
      <c r="B143" s="2" t="s">
        <v>359</v>
      </c>
      <c r="C143" s="2" t="s">
        <v>41</v>
      </c>
      <c r="D143" s="2" t="s">
        <v>16</v>
      </c>
      <c r="E143" s="2" t="s">
        <v>70</v>
      </c>
      <c r="F143" s="46">
        <v>44000</v>
      </c>
    </row>
    <row r="144" spans="1:6" x14ac:dyDescent="0.3">
      <c r="A144" s="2" t="s">
        <v>360</v>
      </c>
      <c r="B144" s="2" t="s">
        <v>361</v>
      </c>
      <c r="C144" s="2" t="s">
        <v>57</v>
      </c>
      <c r="D144" s="2" t="s">
        <v>21</v>
      </c>
      <c r="E144" s="2" t="s">
        <v>22</v>
      </c>
      <c r="F144" s="46">
        <v>19500</v>
      </c>
    </row>
    <row r="145" spans="1:6" x14ac:dyDescent="0.3">
      <c r="A145" s="2" t="s">
        <v>362</v>
      </c>
      <c r="B145" s="2" t="s">
        <v>363</v>
      </c>
      <c r="C145" s="2" t="s">
        <v>25</v>
      </c>
      <c r="D145" s="2" t="s">
        <v>112</v>
      </c>
      <c r="E145" s="2" t="s">
        <v>113</v>
      </c>
      <c r="F145" s="46">
        <v>25500</v>
      </c>
    </row>
    <row r="146" spans="1:6" x14ac:dyDescent="0.3">
      <c r="A146" s="2" t="s">
        <v>364</v>
      </c>
      <c r="B146" s="2" t="s">
        <v>365</v>
      </c>
      <c r="C146" s="2" t="s">
        <v>73</v>
      </c>
      <c r="D146" s="2" t="s">
        <v>16</v>
      </c>
      <c r="E146" s="2" t="s">
        <v>70</v>
      </c>
      <c r="F146" s="46">
        <v>47000</v>
      </c>
    </row>
    <row r="147" spans="1:6" x14ac:dyDescent="0.3">
      <c r="A147" s="2" t="s">
        <v>366</v>
      </c>
      <c r="B147" s="2" t="s">
        <v>367</v>
      </c>
      <c r="C147" s="2" t="s">
        <v>57</v>
      </c>
      <c r="D147" s="2" t="s">
        <v>118</v>
      </c>
      <c r="E147" s="2" t="s">
        <v>190</v>
      </c>
      <c r="F147" s="46">
        <v>26000</v>
      </c>
    </row>
    <row r="148" spans="1:6" x14ac:dyDescent="0.3">
      <c r="A148" s="2" t="s">
        <v>368</v>
      </c>
      <c r="B148" s="2" t="s">
        <v>369</v>
      </c>
      <c r="C148" s="2" t="s">
        <v>25</v>
      </c>
      <c r="D148" s="2" t="s">
        <v>77</v>
      </c>
      <c r="E148" s="2" t="s">
        <v>102</v>
      </c>
      <c r="F148" s="46">
        <v>31500</v>
      </c>
    </row>
    <row r="149" spans="1:6" x14ac:dyDescent="0.3">
      <c r="A149" s="2" t="s">
        <v>370</v>
      </c>
      <c r="B149" s="2" t="s">
        <v>371</v>
      </c>
      <c r="C149" s="2" t="s">
        <v>7</v>
      </c>
      <c r="D149" s="2" t="s">
        <v>118</v>
      </c>
      <c r="E149" s="2" t="s">
        <v>190</v>
      </c>
      <c r="F149" s="46">
        <v>25000</v>
      </c>
    </row>
    <row r="150" spans="1:6" x14ac:dyDescent="0.3">
      <c r="A150" s="2" t="s">
        <v>372</v>
      </c>
      <c r="B150" s="2" t="s">
        <v>373</v>
      </c>
      <c r="C150" s="2" t="s">
        <v>46</v>
      </c>
      <c r="D150" s="2" t="s">
        <v>42</v>
      </c>
      <c r="E150" s="2" t="s">
        <v>261</v>
      </c>
      <c r="F150" s="46">
        <v>29500</v>
      </c>
    </row>
    <row r="151" spans="1:6" x14ac:dyDescent="0.3">
      <c r="A151" s="2" t="s">
        <v>374</v>
      </c>
      <c r="B151" s="2" t="s">
        <v>375</v>
      </c>
      <c r="C151" s="2" t="s">
        <v>33</v>
      </c>
      <c r="D151" s="2" t="s">
        <v>8</v>
      </c>
      <c r="E151" s="2" t="s">
        <v>152</v>
      </c>
      <c r="F151" s="46">
        <v>89500</v>
      </c>
    </row>
    <row r="152" spans="1:6" x14ac:dyDescent="0.3">
      <c r="A152" s="2" t="s">
        <v>376</v>
      </c>
      <c r="B152" s="2" t="s">
        <v>377</v>
      </c>
      <c r="C152" s="2" t="s">
        <v>81</v>
      </c>
      <c r="D152" s="2" t="s">
        <v>29</v>
      </c>
      <c r="E152" s="2" t="s">
        <v>74</v>
      </c>
      <c r="F152" s="46">
        <v>24000</v>
      </c>
    </row>
    <row r="153" spans="1:6" x14ac:dyDescent="0.3">
      <c r="A153" s="2" t="s">
        <v>378</v>
      </c>
      <c r="B153" s="2" t="s">
        <v>379</v>
      </c>
      <c r="C153" s="2" t="s">
        <v>46</v>
      </c>
      <c r="D153" s="2" t="s">
        <v>47</v>
      </c>
      <c r="E153" s="2" t="s">
        <v>129</v>
      </c>
      <c r="F153" s="46">
        <v>62000</v>
      </c>
    </row>
    <row r="154" spans="1:6" x14ac:dyDescent="0.3">
      <c r="A154" s="2" t="s">
        <v>380</v>
      </c>
      <c r="B154" s="2" t="s">
        <v>381</v>
      </c>
      <c r="C154" s="2" t="s">
        <v>41</v>
      </c>
      <c r="D154" s="2" t="s">
        <v>47</v>
      </c>
      <c r="E154" s="2" t="s">
        <v>67</v>
      </c>
      <c r="F154" s="46">
        <v>35000</v>
      </c>
    </row>
    <row r="155" spans="1:6" x14ac:dyDescent="0.3">
      <c r="A155" s="2" t="s">
        <v>382</v>
      </c>
      <c r="B155" s="2" t="s">
        <v>383</v>
      </c>
      <c r="C155" s="2" t="s">
        <v>73</v>
      </c>
      <c r="D155" s="2" t="s">
        <v>8</v>
      </c>
      <c r="E155" s="2" t="s">
        <v>152</v>
      </c>
      <c r="F155" s="46">
        <v>62000</v>
      </c>
    </row>
    <row r="156" spans="1:6" x14ac:dyDescent="0.3">
      <c r="A156" s="2" t="s">
        <v>384</v>
      </c>
      <c r="B156" s="2" t="s">
        <v>385</v>
      </c>
      <c r="C156" s="2" t="s">
        <v>81</v>
      </c>
      <c r="D156" s="2" t="s">
        <v>42</v>
      </c>
      <c r="E156" s="2" t="s">
        <v>137</v>
      </c>
      <c r="F156" s="46">
        <v>35000</v>
      </c>
    </row>
    <row r="157" spans="1:6" x14ac:dyDescent="0.3">
      <c r="A157" s="2" t="s">
        <v>386</v>
      </c>
      <c r="B157" s="2" t="s">
        <v>387</v>
      </c>
      <c r="C157" s="2" t="s">
        <v>25</v>
      </c>
      <c r="D157" s="2" t="s">
        <v>77</v>
      </c>
      <c r="E157" s="2" t="s">
        <v>388</v>
      </c>
      <c r="F157" s="46">
        <v>41000</v>
      </c>
    </row>
    <row r="158" spans="1:6" x14ac:dyDescent="0.3">
      <c r="A158" s="2" t="s">
        <v>389</v>
      </c>
      <c r="B158" s="2" t="s">
        <v>390</v>
      </c>
      <c r="C158" s="2" t="s">
        <v>25</v>
      </c>
      <c r="D158" s="2" t="s">
        <v>112</v>
      </c>
      <c r="E158" s="2" t="s">
        <v>157</v>
      </c>
      <c r="F158" s="46">
        <v>27500</v>
      </c>
    </row>
    <row r="159" spans="1:6" x14ac:dyDescent="0.3">
      <c r="A159" s="2" t="s">
        <v>391</v>
      </c>
      <c r="B159" s="2" t="s">
        <v>392</v>
      </c>
      <c r="C159" s="2" t="s">
        <v>41</v>
      </c>
      <c r="D159" s="2" t="s">
        <v>82</v>
      </c>
      <c r="E159" s="2" t="s">
        <v>203</v>
      </c>
      <c r="F159" s="46">
        <v>66000</v>
      </c>
    </row>
    <row r="160" spans="1:6" x14ac:dyDescent="0.3">
      <c r="A160" s="2" t="s">
        <v>393</v>
      </c>
      <c r="B160" s="2" t="s">
        <v>394</v>
      </c>
      <c r="C160" s="2" t="s">
        <v>25</v>
      </c>
      <c r="D160" s="2" t="s">
        <v>37</v>
      </c>
      <c r="E160" s="2" t="s">
        <v>38</v>
      </c>
      <c r="F160" s="46">
        <v>35000</v>
      </c>
    </row>
    <row r="161" spans="1:6" x14ac:dyDescent="0.3">
      <c r="A161" s="2" t="s">
        <v>395</v>
      </c>
      <c r="B161" s="2" t="s">
        <v>396</v>
      </c>
      <c r="C161" s="2" t="s">
        <v>81</v>
      </c>
      <c r="D161" s="2" t="s">
        <v>37</v>
      </c>
      <c r="E161" s="2" t="s">
        <v>142</v>
      </c>
      <c r="F161" s="46">
        <v>86000</v>
      </c>
    </row>
    <row r="162" spans="1:6" x14ac:dyDescent="0.3">
      <c r="A162" s="2" t="s">
        <v>397</v>
      </c>
      <c r="B162" s="2" t="s">
        <v>398</v>
      </c>
      <c r="C162" s="2" t="s">
        <v>41</v>
      </c>
      <c r="D162" s="2" t="s">
        <v>8</v>
      </c>
      <c r="E162" s="2" t="s">
        <v>12</v>
      </c>
      <c r="F162" s="46">
        <v>50500</v>
      </c>
    </row>
    <row r="163" spans="1:6" x14ac:dyDescent="0.3">
      <c r="A163" s="2" t="s">
        <v>399</v>
      </c>
      <c r="B163" s="2" t="s">
        <v>400</v>
      </c>
      <c r="C163" s="2" t="s">
        <v>33</v>
      </c>
      <c r="D163" s="2" t="s">
        <v>8</v>
      </c>
      <c r="E163" s="2" t="s">
        <v>152</v>
      </c>
      <c r="F163" s="46">
        <v>68500</v>
      </c>
    </row>
    <row r="164" spans="1:6" x14ac:dyDescent="0.3">
      <c r="A164" s="2" t="s">
        <v>401</v>
      </c>
      <c r="B164" s="2" t="s">
        <v>402</v>
      </c>
      <c r="C164" s="2" t="s">
        <v>15</v>
      </c>
      <c r="D164" s="2" t="s">
        <v>42</v>
      </c>
      <c r="E164" s="2" t="s">
        <v>105</v>
      </c>
      <c r="F164" s="46">
        <v>48000</v>
      </c>
    </row>
    <row r="165" spans="1:6" x14ac:dyDescent="0.3">
      <c r="A165" s="2" t="s">
        <v>403</v>
      </c>
      <c r="B165" s="2" t="s">
        <v>404</v>
      </c>
      <c r="C165" s="2" t="s">
        <v>15</v>
      </c>
      <c r="D165" s="2" t="s">
        <v>37</v>
      </c>
      <c r="E165" s="2" t="s">
        <v>405</v>
      </c>
      <c r="F165" s="46">
        <v>28000</v>
      </c>
    </row>
    <row r="166" spans="1:6" x14ac:dyDescent="0.3">
      <c r="A166" s="2" t="s">
        <v>406</v>
      </c>
      <c r="B166" s="2" t="s">
        <v>407</v>
      </c>
      <c r="C166" s="2" t="s">
        <v>57</v>
      </c>
      <c r="D166" s="2" t="s">
        <v>112</v>
      </c>
      <c r="E166" s="2" t="s">
        <v>157</v>
      </c>
      <c r="F166" s="46">
        <v>28500</v>
      </c>
    </row>
    <row r="167" spans="1:6" x14ac:dyDescent="0.3">
      <c r="A167" s="2" t="s">
        <v>408</v>
      </c>
      <c r="B167" s="2" t="s">
        <v>409</v>
      </c>
      <c r="C167" s="2" t="s">
        <v>46</v>
      </c>
      <c r="D167" s="2" t="s">
        <v>61</v>
      </c>
      <c r="E167" s="2" t="s">
        <v>266</v>
      </c>
      <c r="F167" s="46">
        <v>29000</v>
      </c>
    </row>
    <row r="168" spans="1:6" x14ac:dyDescent="0.3">
      <c r="A168" s="2" t="s">
        <v>410</v>
      </c>
      <c r="B168" s="2" t="s">
        <v>411</v>
      </c>
      <c r="C168" s="2" t="s">
        <v>33</v>
      </c>
      <c r="D168" s="2" t="s">
        <v>8</v>
      </c>
      <c r="E168" s="2" t="s">
        <v>145</v>
      </c>
      <c r="F168" s="46">
        <v>29500</v>
      </c>
    </row>
    <row r="169" spans="1:6" x14ac:dyDescent="0.3">
      <c r="A169" s="2" t="s">
        <v>412</v>
      </c>
      <c r="B169" s="2" t="s">
        <v>413</v>
      </c>
      <c r="C169" s="2" t="s">
        <v>73</v>
      </c>
      <c r="D169" s="2" t="s">
        <v>37</v>
      </c>
      <c r="E169" s="2" t="s">
        <v>142</v>
      </c>
      <c r="F169" s="46">
        <v>78000</v>
      </c>
    </row>
    <row r="170" spans="1:6" x14ac:dyDescent="0.3">
      <c r="A170" s="2" t="s">
        <v>414</v>
      </c>
      <c r="B170" s="2" t="s">
        <v>415</v>
      </c>
      <c r="C170" s="2" t="s">
        <v>25</v>
      </c>
      <c r="D170" s="2" t="s">
        <v>16</v>
      </c>
      <c r="E170" s="2" t="s">
        <v>17</v>
      </c>
      <c r="F170" s="46">
        <v>47500</v>
      </c>
    </row>
    <row r="171" spans="1:6" x14ac:dyDescent="0.3">
      <c r="A171" s="2" t="s">
        <v>416</v>
      </c>
      <c r="B171" s="2" t="s">
        <v>417</v>
      </c>
      <c r="C171" s="2" t="s">
        <v>57</v>
      </c>
      <c r="D171" s="2" t="s">
        <v>8</v>
      </c>
      <c r="E171" s="2" t="s">
        <v>152</v>
      </c>
      <c r="F171" s="46">
        <v>64500</v>
      </c>
    </row>
    <row r="172" spans="1:6" x14ac:dyDescent="0.3">
      <c r="A172" s="2" t="s">
        <v>418</v>
      </c>
      <c r="B172" s="2" t="s">
        <v>419</v>
      </c>
      <c r="C172" s="2" t="s">
        <v>81</v>
      </c>
      <c r="D172" s="2" t="s">
        <v>8</v>
      </c>
      <c r="E172" s="2" t="s">
        <v>9</v>
      </c>
      <c r="F172" s="46">
        <v>24500</v>
      </c>
    </row>
    <row r="173" spans="1:6" x14ac:dyDescent="0.3">
      <c r="A173" s="2" t="s">
        <v>420</v>
      </c>
      <c r="B173" s="2" t="s">
        <v>421</v>
      </c>
      <c r="C173" s="2" t="s">
        <v>15</v>
      </c>
      <c r="D173" s="2" t="s">
        <v>8</v>
      </c>
      <c r="E173" s="2" t="s">
        <v>12</v>
      </c>
      <c r="F173" s="46">
        <v>47000</v>
      </c>
    </row>
    <row r="174" spans="1:6" x14ac:dyDescent="0.3">
      <c r="A174" s="2" t="s">
        <v>422</v>
      </c>
      <c r="B174" s="2" t="s">
        <v>423</v>
      </c>
      <c r="C174" s="2" t="s">
        <v>15</v>
      </c>
      <c r="D174" s="2" t="s">
        <v>21</v>
      </c>
      <c r="E174" s="2" t="s">
        <v>26</v>
      </c>
      <c r="F174" s="46">
        <v>25500</v>
      </c>
    </row>
    <row r="175" spans="1:6" x14ac:dyDescent="0.3">
      <c r="A175" s="2" t="s">
        <v>424</v>
      </c>
      <c r="B175" s="2" t="s">
        <v>425</v>
      </c>
      <c r="C175" s="2" t="s">
        <v>7</v>
      </c>
      <c r="D175" s="2" t="s">
        <v>21</v>
      </c>
      <c r="E175" s="2" t="s">
        <v>22</v>
      </c>
      <c r="F175" s="46">
        <v>24500</v>
      </c>
    </row>
    <row r="176" spans="1:6" x14ac:dyDescent="0.3">
      <c r="A176" s="2" t="s">
        <v>426</v>
      </c>
      <c r="B176" s="2" t="s">
        <v>427</v>
      </c>
      <c r="C176" s="2" t="s">
        <v>33</v>
      </c>
      <c r="D176" s="2" t="s">
        <v>29</v>
      </c>
      <c r="E176" s="2" t="s">
        <v>216</v>
      </c>
      <c r="F176" s="46">
        <v>26500</v>
      </c>
    </row>
    <row r="177" spans="1:6" x14ac:dyDescent="0.3">
      <c r="A177" s="2" t="s">
        <v>428</v>
      </c>
      <c r="B177" s="2" t="s">
        <v>429</v>
      </c>
      <c r="C177" s="2" t="s">
        <v>15</v>
      </c>
      <c r="D177" s="2" t="s">
        <v>82</v>
      </c>
      <c r="E177" s="2" t="s">
        <v>329</v>
      </c>
      <c r="F177" s="46">
        <v>32500</v>
      </c>
    </row>
    <row r="178" spans="1:6" x14ac:dyDescent="0.3">
      <c r="A178" s="2" t="s">
        <v>430</v>
      </c>
      <c r="B178" s="2" t="s">
        <v>431</v>
      </c>
      <c r="C178" s="2" t="s">
        <v>7</v>
      </c>
      <c r="D178" s="2" t="s">
        <v>16</v>
      </c>
      <c r="E178" s="2" t="s">
        <v>432</v>
      </c>
      <c r="F178" s="46">
        <v>32000</v>
      </c>
    </row>
    <row r="179" spans="1:6" x14ac:dyDescent="0.3">
      <c r="A179" s="2" t="s">
        <v>433</v>
      </c>
      <c r="B179" s="2" t="s">
        <v>434</v>
      </c>
      <c r="C179" s="2" t="s">
        <v>25</v>
      </c>
      <c r="D179" s="2" t="s">
        <v>8</v>
      </c>
      <c r="E179" s="2" t="s">
        <v>9</v>
      </c>
      <c r="F179" s="46">
        <v>25000</v>
      </c>
    </row>
    <row r="180" spans="1:6" x14ac:dyDescent="0.3">
      <c r="A180" s="2" t="s">
        <v>435</v>
      </c>
      <c r="B180" s="2" t="s">
        <v>436</v>
      </c>
      <c r="C180" s="2" t="s">
        <v>7</v>
      </c>
      <c r="D180" s="2" t="s">
        <v>8</v>
      </c>
      <c r="E180" s="2" t="s">
        <v>12</v>
      </c>
      <c r="F180" s="46">
        <v>49500</v>
      </c>
    </row>
    <row r="181" spans="1:6" x14ac:dyDescent="0.3">
      <c r="A181" s="2" t="s">
        <v>437</v>
      </c>
      <c r="B181" s="2" t="s">
        <v>438</v>
      </c>
      <c r="C181" s="2" t="s">
        <v>73</v>
      </c>
      <c r="D181" s="2" t="s">
        <v>29</v>
      </c>
      <c r="E181" s="2" t="s">
        <v>216</v>
      </c>
      <c r="F181" s="46">
        <v>25500</v>
      </c>
    </row>
    <row r="182" spans="1:6" x14ac:dyDescent="0.3">
      <c r="A182" s="2" t="s">
        <v>439</v>
      </c>
      <c r="B182" s="2" t="s">
        <v>440</v>
      </c>
      <c r="C182" s="2" t="s">
        <v>46</v>
      </c>
      <c r="D182" s="2" t="s">
        <v>8</v>
      </c>
      <c r="E182" s="2" t="s">
        <v>145</v>
      </c>
      <c r="F182" s="46">
        <v>28000</v>
      </c>
    </row>
    <row r="183" spans="1:6" x14ac:dyDescent="0.3">
      <c r="A183" s="2" t="s">
        <v>441</v>
      </c>
      <c r="B183" s="2" t="s">
        <v>442</v>
      </c>
      <c r="C183" s="2" t="s">
        <v>81</v>
      </c>
      <c r="D183" s="2" t="s">
        <v>77</v>
      </c>
      <c r="E183" s="2" t="s">
        <v>388</v>
      </c>
      <c r="F183" s="46">
        <v>53500</v>
      </c>
    </row>
    <row r="184" spans="1:6" x14ac:dyDescent="0.3">
      <c r="A184" s="2" t="s">
        <v>443</v>
      </c>
      <c r="B184" s="2" t="s">
        <v>444</v>
      </c>
      <c r="C184" s="2" t="s">
        <v>81</v>
      </c>
      <c r="D184" s="2" t="s">
        <v>37</v>
      </c>
      <c r="E184" s="2" t="s">
        <v>58</v>
      </c>
      <c r="F184" s="46">
        <v>54000</v>
      </c>
    </row>
    <row r="185" spans="1:6" x14ac:dyDescent="0.3">
      <c r="A185" s="2" t="s">
        <v>445</v>
      </c>
      <c r="B185" s="2" t="s">
        <v>446</v>
      </c>
      <c r="C185" s="2" t="s">
        <v>7</v>
      </c>
      <c r="D185" s="2" t="s">
        <v>61</v>
      </c>
      <c r="E185" s="2" t="s">
        <v>233</v>
      </c>
      <c r="F185" s="46">
        <v>83000</v>
      </c>
    </row>
    <row r="186" spans="1:6" x14ac:dyDescent="0.3">
      <c r="A186" s="2" t="s">
        <v>447</v>
      </c>
      <c r="B186" s="2" t="s">
        <v>448</v>
      </c>
      <c r="C186" s="2" t="s">
        <v>73</v>
      </c>
      <c r="D186" s="2" t="s">
        <v>21</v>
      </c>
      <c r="E186" s="2" t="s">
        <v>160</v>
      </c>
      <c r="F186" s="46">
        <v>26500</v>
      </c>
    </row>
    <row r="187" spans="1:6" x14ac:dyDescent="0.3">
      <c r="A187" s="2" t="s">
        <v>449</v>
      </c>
      <c r="B187" s="2" t="s">
        <v>450</v>
      </c>
      <c r="C187" s="2" t="s">
        <v>73</v>
      </c>
      <c r="D187" s="2" t="s">
        <v>29</v>
      </c>
      <c r="E187" s="2" t="s">
        <v>74</v>
      </c>
      <c r="F187" s="46">
        <v>25000</v>
      </c>
    </row>
    <row r="188" spans="1:6" x14ac:dyDescent="0.3">
      <c r="A188" s="2" t="s">
        <v>451</v>
      </c>
      <c r="B188" s="2" t="s">
        <v>452</v>
      </c>
      <c r="C188" s="2" t="s">
        <v>41</v>
      </c>
      <c r="D188" s="2" t="s">
        <v>21</v>
      </c>
      <c r="E188" s="2" t="s">
        <v>26</v>
      </c>
      <c r="F188" s="46">
        <v>29000</v>
      </c>
    </row>
    <row r="189" spans="1:6" x14ac:dyDescent="0.3">
      <c r="A189" s="2" t="s">
        <v>453</v>
      </c>
      <c r="B189" s="2" t="s">
        <v>454</v>
      </c>
      <c r="C189" s="2" t="s">
        <v>41</v>
      </c>
      <c r="D189" s="2" t="s">
        <v>118</v>
      </c>
      <c r="E189" s="2" t="s">
        <v>177</v>
      </c>
      <c r="F189" s="46">
        <v>28500</v>
      </c>
    </row>
    <row r="190" spans="1:6" x14ac:dyDescent="0.3">
      <c r="A190" s="2" t="s">
        <v>455</v>
      </c>
      <c r="B190" s="2" t="s">
        <v>456</v>
      </c>
      <c r="C190" s="2" t="s">
        <v>25</v>
      </c>
      <c r="D190" s="2" t="s">
        <v>16</v>
      </c>
      <c r="E190" s="2" t="s">
        <v>230</v>
      </c>
      <c r="F190" s="46">
        <v>64000</v>
      </c>
    </row>
    <row r="191" spans="1:6" x14ac:dyDescent="0.3">
      <c r="A191" s="2" t="s">
        <v>457</v>
      </c>
      <c r="B191" s="2" t="s">
        <v>458</v>
      </c>
      <c r="C191" s="2" t="s">
        <v>33</v>
      </c>
      <c r="D191" s="2" t="s">
        <v>77</v>
      </c>
      <c r="E191" s="2" t="s">
        <v>165</v>
      </c>
      <c r="F191" s="46">
        <v>75500</v>
      </c>
    </row>
    <row r="192" spans="1:6" x14ac:dyDescent="0.3">
      <c r="A192" s="2" t="s">
        <v>459</v>
      </c>
      <c r="B192" s="2" t="s">
        <v>460</v>
      </c>
      <c r="C192" s="2" t="s">
        <v>25</v>
      </c>
      <c r="D192" s="2" t="s">
        <v>118</v>
      </c>
      <c r="E192" s="2" t="s">
        <v>190</v>
      </c>
      <c r="F192" s="46">
        <v>25000</v>
      </c>
    </row>
    <row r="193" spans="1:6" x14ac:dyDescent="0.3">
      <c r="A193" s="2" t="s">
        <v>461</v>
      </c>
      <c r="B193" s="2" t="s">
        <v>462</v>
      </c>
      <c r="C193" s="2" t="s">
        <v>57</v>
      </c>
      <c r="D193" s="2" t="s">
        <v>29</v>
      </c>
      <c r="E193" s="2" t="s">
        <v>54</v>
      </c>
      <c r="F193" s="46">
        <v>25500</v>
      </c>
    </row>
    <row r="194" spans="1:6" x14ac:dyDescent="0.3">
      <c r="A194" s="2" t="s">
        <v>463</v>
      </c>
      <c r="B194" s="2" t="s">
        <v>464</v>
      </c>
      <c r="C194" s="2" t="s">
        <v>46</v>
      </c>
      <c r="D194" s="2" t="s">
        <v>29</v>
      </c>
      <c r="E194" s="2" t="s">
        <v>54</v>
      </c>
      <c r="F194" s="46">
        <v>34000</v>
      </c>
    </row>
    <row r="195" spans="1:6" x14ac:dyDescent="0.3">
      <c r="A195" s="2" t="s">
        <v>465</v>
      </c>
      <c r="B195" s="2" t="s">
        <v>466</v>
      </c>
      <c r="C195" s="2" t="s">
        <v>41</v>
      </c>
      <c r="D195" s="2" t="s">
        <v>16</v>
      </c>
      <c r="E195" s="2" t="s">
        <v>230</v>
      </c>
      <c r="F195" s="46">
        <v>60500</v>
      </c>
    </row>
    <row r="196" spans="1:6" x14ac:dyDescent="0.3">
      <c r="A196" s="2" t="s">
        <v>467</v>
      </c>
      <c r="B196" s="2" t="s">
        <v>468</v>
      </c>
      <c r="C196" s="2" t="s">
        <v>57</v>
      </c>
      <c r="D196" s="2" t="s">
        <v>29</v>
      </c>
      <c r="E196" s="2" t="s">
        <v>216</v>
      </c>
      <c r="F196" s="46">
        <v>25500</v>
      </c>
    </row>
    <row r="197" spans="1:6" x14ac:dyDescent="0.3">
      <c r="A197" s="2" t="s">
        <v>469</v>
      </c>
      <c r="B197" s="2" t="s">
        <v>470</v>
      </c>
      <c r="C197" s="2" t="s">
        <v>41</v>
      </c>
      <c r="D197" s="2" t="s">
        <v>47</v>
      </c>
      <c r="E197" s="2" t="s">
        <v>67</v>
      </c>
      <c r="F197" s="46">
        <v>32000</v>
      </c>
    </row>
    <row r="198" spans="1:6" x14ac:dyDescent="0.3">
      <c r="A198" s="2" t="s">
        <v>471</v>
      </c>
      <c r="B198" s="2" t="s">
        <v>472</v>
      </c>
      <c r="C198" s="2" t="s">
        <v>33</v>
      </c>
      <c r="D198" s="2" t="s">
        <v>47</v>
      </c>
      <c r="E198" s="2" t="s">
        <v>99</v>
      </c>
      <c r="F198" s="46">
        <v>27500</v>
      </c>
    </row>
    <row r="199" spans="1:6" x14ac:dyDescent="0.3">
      <c r="A199" s="2" t="s">
        <v>473</v>
      </c>
      <c r="B199" s="2" t="s">
        <v>474</v>
      </c>
      <c r="C199" s="2" t="s">
        <v>57</v>
      </c>
      <c r="D199" s="2" t="s">
        <v>82</v>
      </c>
      <c r="E199" s="2" t="s">
        <v>329</v>
      </c>
      <c r="F199" s="46">
        <v>29500</v>
      </c>
    </row>
    <row r="200" spans="1:6" x14ac:dyDescent="0.3">
      <c r="A200" s="2" t="s">
        <v>475</v>
      </c>
      <c r="B200" s="2" t="s">
        <v>476</v>
      </c>
      <c r="C200" s="2" t="s">
        <v>15</v>
      </c>
      <c r="D200" s="2" t="s">
        <v>61</v>
      </c>
      <c r="E200" s="2" t="s">
        <v>233</v>
      </c>
      <c r="F200" s="46">
        <v>92000</v>
      </c>
    </row>
    <row r="201" spans="1:6" x14ac:dyDescent="0.3">
      <c r="A201" s="2" t="s">
        <v>477</v>
      </c>
      <c r="B201" s="2" t="s">
        <v>478</v>
      </c>
      <c r="C201" s="2" t="s">
        <v>46</v>
      </c>
      <c r="D201" s="2" t="s">
        <v>118</v>
      </c>
      <c r="E201" s="2" t="s">
        <v>190</v>
      </c>
      <c r="F201" s="46">
        <v>29500</v>
      </c>
    </row>
    <row r="202" spans="1:6" x14ac:dyDescent="0.3">
      <c r="A202" s="2" t="s">
        <v>479</v>
      </c>
      <c r="B202" s="2" t="s">
        <v>480</v>
      </c>
      <c r="C202" s="2" t="s">
        <v>33</v>
      </c>
      <c r="D202" s="2" t="s">
        <v>8</v>
      </c>
      <c r="E202" s="2" t="s">
        <v>96</v>
      </c>
      <c r="F202" s="46">
        <v>39000</v>
      </c>
    </row>
    <row r="203" spans="1:6" x14ac:dyDescent="0.3">
      <c r="A203" s="2" t="s">
        <v>481</v>
      </c>
      <c r="B203" s="2" t="s">
        <v>482</v>
      </c>
      <c r="C203" s="2" t="s">
        <v>81</v>
      </c>
      <c r="D203" s="2" t="s">
        <v>118</v>
      </c>
      <c r="E203" s="2" t="s">
        <v>304</v>
      </c>
      <c r="F203" s="46">
        <v>77000</v>
      </c>
    </row>
    <row r="204" spans="1:6" x14ac:dyDescent="0.3">
      <c r="A204" s="2" t="s">
        <v>483</v>
      </c>
      <c r="B204" s="2" t="s">
        <v>484</v>
      </c>
      <c r="C204" s="2" t="s">
        <v>46</v>
      </c>
      <c r="D204" s="2" t="s">
        <v>8</v>
      </c>
      <c r="E204" s="2" t="s">
        <v>152</v>
      </c>
      <c r="F204" s="46">
        <v>73500</v>
      </c>
    </row>
    <row r="205" spans="1:6" x14ac:dyDescent="0.3">
      <c r="A205" s="2" t="s">
        <v>485</v>
      </c>
      <c r="B205" s="2" t="s">
        <v>486</v>
      </c>
      <c r="C205" s="2" t="s">
        <v>7</v>
      </c>
      <c r="D205" s="2" t="s">
        <v>118</v>
      </c>
      <c r="E205" s="2" t="s">
        <v>119</v>
      </c>
      <c r="F205" s="46">
        <v>21500</v>
      </c>
    </row>
    <row r="206" spans="1:6" x14ac:dyDescent="0.3">
      <c r="A206" s="2" t="s">
        <v>487</v>
      </c>
      <c r="B206" s="2" t="s">
        <v>488</v>
      </c>
      <c r="C206" s="2" t="s">
        <v>25</v>
      </c>
      <c r="D206" s="2" t="s">
        <v>118</v>
      </c>
      <c r="E206" s="2" t="s">
        <v>177</v>
      </c>
      <c r="F206" s="46">
        <v>31000</v>
      </c>
    </row>
    <row r="207" spans="1:6" x14ac:dyDescent="0.3">
      <c r="A207" s="2" t="s">
        <v>489</v>
      </c>
      <c r="B207" s="2" t="s">
        <v>490</v>
      </c>
      <c r="C207" s="2" t="s">
        <v>73</v>
      </c>
      <c r="D207" s="2" t="s">
        <v>118</v>
      </c>
      <c r="E207" s="2" t="s">
        <v>304</v>
      </c>
      <c r="F207" s="46">
        <v>59000</v>
      </c>
    </row>
    <row r="208" spans="1:6" x14ac:dyDescent="0.3">
      <c r="A208" s="2" t="s">
        <v>491</v>
      </c>
      <c r="B208" s="2" t="s">
        <v>492</v>
      </c>
      <c r="C208" s="2" t="s">
        <v>7</v>
      </c>
      <c r="D208" s="2" t="s">
        <v>37</v>
      </c>
      <c r="E208" s="2" t="s">
        <v>51</v>
      </c>
      <c r="F208" s="46">
        <v>36000</v>
      </c>
    </row>
    <row r="209" spans="1:6" x14ac:dyDescent="0.3">
      <c r="A209" s="2" t="s">
        <v>493</v>
      </c>
      <c r="B209" s="2" t="s">
        <v>494</v>
      </c>
      <c r="C209" s="2" t="s">
        <v>25</v>
      </c>
      <c r="D209" s="2" t="s">
        <v>37</v>
      </c>
      <c r="E209" s="2" t="s">
        <v>405</v>
      </c>
      <c r="F209" s="46">
        <v>24500</v>
      </c>
    </row>
    <row r="210" spans="1:6" x14ac:dyDescent="0.3">
      <c r="A210" s="2" t="s">
        <v>495</v>
      </c>
      <c r="B210" s="2" t="s">
        <v>496</v>
      </c>
      <c r="C210" s="2" t="s">
        <v>57</v>
      </c>
      <c r="D210" s="2" t="s">
        <v>82</v>
      </c>
      <c r="E210" s="2" t="s">
        <v>329</v>
      </c>
      <c r="F210" s="46">
        <v>31500</v>
      </c>
    </row>
    <row r="211" spans="1:6" x14ac:dyDescent="0.3">
      <c r="A211" s="2" t="s">
        <v>497</v>
      </c>
      <c r="B211" s="2" t="s">
        <v>498</v>
      </c>
      <c r="C211" s="2" t="s">
        <v>25</v>
      </c>
      <c r="D211" s="2" t="s">
        <v>37</v>
      </c>
      <c r="E211" s="2" t="s">
        <v>58</v>
      </c>
      <c r="F211" s="46">
        <v>42500</v>
      </c>
    </row>
    <row r="212" spans="1:6" x14ac:dyDescent="0.3">
      <c r="A212" s="2" t="s">
        <v>499</v>
      </c>
      <c r="B212" s="2" t="s">
        <v>500</v>
      </c>
      <c r="C212" s="2" t="s">
        <v>33</v>
      </c>
      <c r="D212" s="2" t="s">
        <v>77</v>
      </c>
      <c r="E212" s="2" t="s">
        <v>78</v>
      </c>
      <c r="F212" s="46">
        <v>30000</v>
      </c>
    </row>
    <row r="213" spans="1:6" x14ac:dyDescent="0.3">
      <c r="A213" s="2" t="s">
        <v>501</v>
      </c>
      <c r="B213" s="2" t="s">
        <v>502</v>
      </c>
      <c r="C213" s="2" t="s">
        <v>41</v>
      </c>
      <c r="D213" s="2" t="s">
        <v>61</v>
      </c>
      <c r="E213" s="2" t="s">
        <v>174</v>
      </c>
      <c r="F213" s="46">
        <v>63500</v>
      </c>
    </row>
    <row r="214" spans="1:6" x14ac:dyDescent="0.3">
      <c r="A214" s="2" t="s">
        <v>503</v>
      </c>
      <c r="B214" s="2" t="s">
        <v>504</v>
      </c>
      <c r="C214" s="2" t="s">
        <v>20</v>
      </c>
      <c r="D214" s="2" t="s">
        <v>47</v>
      </c>
      <c r="E214" s="2" t="s">
        <v>48</v>
      </c>
      <c r="F214" s="46">
        <v>42000</v>
      </c>
    </row>
    <row r="215" spans="1:6" x14ac:dyDescent="0.3">
      <c r="A215" s="2" t="s">
        <v>505</v>
      </c>
      <c r="B215" s="2" t="s">
        <v>506</v>
      </c>
      <c r="C215" s="2" t="s">
        <v>81</v>
      </c>
      <c r="D215" s="2" t="s">
        <v>42</v>
      </c>
      <c r="E215" s="2" t="s">
        <v>105</v>
      </c>
      <c r="F215" s="46">
        <v>45500</v>
      </c>
    </row>
    <row r="216" spans="1:6" x14ac:dyDescent="0.3">
      <c r="A216" s="2" t="s">
        <v>507</v>
      </c>
      <c r="B216" s="2" t="s">
        <v>508</v>
      </c>
      <c r="C216" s="2" t="s">
        <v>7</v>
      </c>
      <c r="D216" s="2" t="s">
        <v>118</v>
      </c>
      <c r="E216" s="2" t="s">
        <v>177</v>
      </c>
      <c r="F216" s="46">
        <v>31500</v>
      </c>
    </row>
    <row r="217" spans="1:6" x14ac:dyDescent="0.3">
      <c r="A217" s="2" t="s">
        <v>509</v>
      </c>
      <c r="B217" s="2" t="s">
        <v>510</v>
      </c>
      <c r="C217" s="2" t="s">
        <v>20</v>
      </c>
      <c r="D217" s="2" t="s">
        <v>47</v>
      </c>
      <c r="E217" s="2" t="s">
        <v>99</v>
      </c>
      <c r="F217" s="46">
        <v>30000</v>
      </c>
    </row>
    <row r="218" spans="1:6" x14ac:dyDescent="0.3">
      <c r="A218" s="2" t="s">
        <v>511</v>
      </c>
      <c r="B218" s="2" t="s">
        <v>512</v>
      </c>
      <c r="C218" s="2" t="s">
        <v>20</v>
      </c>
      <c r="D218" s="2" t="s">
        <v>61</v>
      </c>
      <c r="E218" s="2" t="s">
        <v>266</v>
      </c>
      <c r="F218" s="46">
        <v>33500</v>
      </c>
    </row>
    <row r="219" spans="1:6" x14ac:dyDescent="0.3">
      <c r="A219" s="2" t="s">
        <v>513</v>
      </c>
      <c r="B219" s="2" t="s">
        <v>514</v>
      </c>
      <c r="C219" s="2" t="s">
        <v>41</v>
      </c>
      <c r="D219" s="2" t="s">
        <v>8</v>
      </c>
      <c r="E219" s="2" t="s">
        <v>152</v>
      </c>
      <c r="F219" s="46">
        <v>57500</v>
      </c>
    </row>
    <row r="220" spans="1:6" x14ac:dyDescent="0.3">
      <c r="A220" s="2" t="s">
        <v>515</v>
      </c>
      <c r="B220" s="2" t="s">
        <v>516</v>
      </c>
      <c r="C220" s="2" t="s">
        <v>81</v>
      </c>
      <c r="D220" s="2" t="s">
        <v>42</v>
      </c>
      <c r="E220" s="2" t="s">
        <v>43</v>
      </c>
      <c r="F220" s="46">
        <v>42000</v>
      </c>
    </row>
    <row r="221" spans="1:6" x14ac:dyDescent="0.3">
      <c r="A221" s="2" t="s">
        <v>517</v>
      </c>
      <c r="B221" s="2" t="s">
        <v>518</v>
      </c>
      <c r="C221" s="2" t="s">
        <v>41</v>
      </c>
      <c r="D221" s="2" t="s">
        <v>37</v>
      </c>
      <c r="E221" s="2" t="s">
        <v>58</v>
      </c>
      <c r="F221" s="46">
        <v>55000</v>
      </c>
    </row>
    <row r="222" spans="1:6" x14ac:dyDescent="0.3">
      <c r="A222" s="2" t="s">
        <v>519</v>
      </c>
      <c r="B222" s="2" t="s">
        <v>520</v>
      </c>
      <c r="C222" s="2" t="s">
        <v>57</v>
      </c>
      <c r="D222" s="2" t="s">
        <v>82</v>
      </c>
      <c r="E222" s="2" t="s">
        <v>521</v>
      </c>
      <c r="F222" s="46">
        <v>27000</v>
      </c>
    </row>
    <row r="223" spans="1:6" x14ac:dyDescent="0.3">
      <c r="A223" s="2" t="s">
        <v>522</v>
      </c>
      <c r="B223" s="2" t="s">
        <v>523</v>
      </c>
      <c r="C223" s="2" t="s">
        <v>46</v>
      </c>
      <c r="D223" s="2" t="s">
        <v>47</v>
      </c>
      <c r="E223" s="2" t="s">
        <v>129</v>
      </c>
      <c r="F223" s="46">
        <v>61000</v>
      </c>
    </row>
    <row r="224" spans="1:6" x14ac:dyDescent="0.3">
      <c r="A224" s="2" t="s">
        <v>524</v>
      </c>
      <c r="B224" s="2" t="s">
        <v>525</v>
      </c>
      <c r="C224" s="2" t="s">
        <v>15</v>
      </c>
      <c r="D224" s="2" t="s">
        <v>118</v>
      </c>
      <c r="E224" s="2" t="s">
        <v>190</v>
      </c>
      <c r="F224" s="46">
        <v>26500</v>
      </c>
    </row>
    <row r="225" spans="1:6" x14ac:dyDescent="0.3">
      <c r="A225" s="2" t="s">
        <v>526</v>
      </c>
      <c r="B225" s="2" t="s">
        <v>527</v>
      </c>
      <c r="C225" s="2" t="s">
        <v>7</v>
      </c>
      <c r="D225" s="2" t="s">
        <v>8</v>
      </c>
      <c r="E225" s="2" t="s">
        <v>145</v>
      </c>
      <c r="F225" s="46">
        <v>34000</v>
      </c>
    </row>
    <row r="226" spans="1:6" x14ac:dyDescent="0.3">
      <c r="A226" s="2" t="s">
        <v>528</v>
      </c>
      <c r="B226" s="2" t="s">
        <v>529</v>
      </c>
      <c r="C226" s="2" t="s">
        <v>41</v>
      </c>
      <c r="D226" s="2" t="s">
        <v>77</v>
      </c>
      <c r="E226" s="2" t="s">
        <v>388</v>
      </c>
      <c r="F226" s="46">
        <v>53500</v>
      </c>
    </row>
    <row r="227" spans="1:6" x14ac:dyDescent="0.3">
      <c r="A227" s="2" t="s">
        <v>530</v>
      </c>
      <c r="B227" s="2" t="s">
        <v>531</v>
      </c>
      <c r="C227" s="2" t="s">
        <v>25</v>
      </c>
      <c r="D227" s="2" t="s">
        <v>8</v>
      </c>
      <c r="E227" s="2" t="s">
        <v>12</v>
      </c>
      <c r="F227" s="46">
        <v>54000</v>
      </c>
    </row>
    <row r="228" spans="1:6" x14ac:dyDescent="0.3">
      <c r="A228" s="2" t="s">
        <v>532</v>
      </c>
      <c r="B228" s="2" t="s">
        <v>533</v>
      </c>
      <c r="C228" s="2" t="s">
        <v>46</v>
      </c>
      <c r="D228" s="2" t="s">
        <v>21</v>
      </c>
      <c r="E228" s="2" t="s">
        <v>26</v>
      </c>
      <c r="F228" s="46">
        <v>28000</v>
      </c>
    </row>
    <row r="229" spans="1:6" x14ac:dyDescent="0.3">
      <c r="A229" s="2" t="s">
        <v>534</v>
      </c>
      <c r="B229" s="2" t="s">
        <v>535</v>
      </c>
      <c r="C229" s="2" t="s">
        <v>20</v>
      </c>
      <c r="D229" s="2" t="s">
        <v>61</v>
      </c>
      <c r="E229" s="2" t="s">
        <v>122</v>
      </c>
      <c r="F229" s="46">
        <v>39000</v>
      </c>
    </row>
    <row r="230" spans="1:6" x14ac:dyDescent="0.3">
      <c r="A230" s="2" t="s">
        <v>536</v>
      </c>
      <c r="B230" s="2" t="s">
        <v>537</v>
      </c>
      <c r="C230" s="2" t="s">
        <v>7</v>
      </c>
      <c r="D230" s="2" t="s">
        <v>118</v>
      </c>
      <c r="E230" s="2" t="s">
        <v>538</v>
      </c>
      <c r="F230" s="46">
        <v>29000</v>
      </c>
    </row>
    <row r="231" spans="1:6" x14ac:dyDescent="0.3">
      <c r="A231" s="2" t="s">
        <v>539</v>
      </c>
      <c r="B231" s="2" t="s">
        <v>540</v>
      </c>
      <c r="C231" s="2" t="s">
        <v>20</v>
      </c>
      <c r="D231" s="2" t="s">
        <v>21</v>
      </c>
      <c r="E231" s="2" t="s">
        <v>160</v>
      </c>
      <c r="F231" s="46">
        <v>31500</v>
      </c>
    </row>
    <row r="232" spans="1:6" x14ac:dyDescent="0.3">
      <c r="A232" s="2" t="s">
        <v>541</v>
      </c>
      <c r="B232" s="2" t="s">
        <v>542</v>
      </c>
      <c r="C232" s="2" t="s">
        <v>41</v>
      </c>
      <c r="D232" s="2" t="s">
        <v>37</v>
      </c>
      <c r="E232" s="2" t="s">
        <v>38</v>
      </c>
      <c r="F232" s="46">
        <v>33500</v>
      </c>
    </row>
    <row r="233" spans="1:6" x14ac:dyDescent="0.3">
      <c r="A233" s="2" t="s">
        <v>543</v>
      </c>
      <c r="B233" s="2" t="s">
        <v>544</v>
      </c>
      <c r="C233" s="2" t="s">
        <v>7</v>
      </c>
      <c r="D233" s="2" t="s">
        <v>112</v>
      </c>
      <c r="E233" s="2" t="s">
        <v>113</v>
      </c>
      <c r="F233" s="46">
        <v>25000</v>
      </c>
    </row>
    <row r="234" spans="1:6" x14ac:dyDescent="0.3">
      <c r="A234" s="2" t="s">
        <v>545</v>
      </c>
      <c r="B234" s="2" t="s">
        <v>546</v>
      </c>
      <c r="C234" s="2" t="s">
        <v>15</v>
      </c>
      <c r="D234" s="2" t="s">
        <v>77</v>
      </c>
      <c r="E234" s="2" t="s">
        <v>219</v>
      </c>
      <c r="F234" s="46">
        <v>46000</v>
      </c>
    </row>
    <row r="235" spans="1:6" x14ac:dyDescent="0.3">
      <c r="A235" s="2" t="s">
        <v>547</v>
      </c>
      <c r="B235" s="2" t="s">
        <v>548</v>
      </c>
      <c r="C235" s="2" t="s">
        <v>41</v>
      </c>
      <c r="D235" s="2" t="s">
        <v>112</v>
      </c>
      <c r="E235" s="2" t="s">
        <v>549</v>
      </c>
      <c r="F235" s="46">
        <v>50500</v>
      </c>
    </row>
    <row r="236" spans="1:6" x14ac:dyDescent="0.3">
      <c r="A236" s="2" t="s">
        <v>550</v>
      </c>
      <c r="B236" s="2" t="s">
        <v>551</v>
      </c>
      <c r="C236" s="2" t="s">
        <v>81</v>
      </c>
      <c r="D236" s="2" t="s">
        <v>47</v>
      </c>
      <c r="E236" s="2" t="s">
        <v>552</v>
      </c>
      <c r="F236" s="46">
        <v>34500</v>
      </c>
    </row>
    <row r="237" spans="1:6" x14ac:dyDescent="0.3">
      <c r="A237" s="2" t="s">
        <v>553</v>
      </c>
      <c r="B237" s="2" t="s">
        <v>554</v>
      </c>
      <c r="C237" s="2" t="s">
        <v>20</v>
      </c>
      <c r="D237" s="2" t="s">
        <v>118</v>
      </c>
      <c r="E237" s="2" t="s">
        <v>538</v>
      </c>
      <c r="F237" s="46">
        <v>28000</v>
      </c>
    </row>
    <row r="238" spans="1:6" x14ac:dyDescent="0.3">
      <c r="A238" s="2" t="s">
        <v>555</v>
      </c>
      <c r="B238" s="2" t="s">
        <v>556</v>
      </c>
      <c r="C238" s="2" t="s">
        <v>73</v>
      </c>
      <c r="D238" s="2" t="s">
        <v>21</v>
      </c>
      <c r="E238" s="2" t="s">
        <v>160</v>
      </c>
      <c r="F238" s="46">
        <v>27500</v>
      </c>
    </row>
    <row r="239" spans="1:6" x14ac:dyDescent="0.3">
      <c r="A239" s="2" t="s">
        <v>557</v>
      </c>
      <c r="B239" s="2" t="s">
        <v>558</v>
      </c>
      <c r="C239" s="2" t="s">
        <v>15</v>
      </c>
      <c r="D239" s="2" t="s">
        <v>42</v>
      </c>
      <c r="E239" s="2" t="s">
        <v>43</v>
      </c>
      <c r="F239" s="46">
        <v>35000</v>
      </c>
    </row>
    <row r="240" spans="1:6" x14ac:dyDescent="0.3">
      <c r="A240" s="2" t="s">
        <v>559</v>
      </c>
      <c r="B240" s="2" t="s">
        <v>560</v>
      </c>
      <c r="C240" s="2" t="s">
        <v>57</v>
      </c>
      <c r="D240" s="2" t="s">
        <v>82</v>
      </c>
      <c r="E240" s="2" t="s">
        <v>203</v>
      </c>
      <c r="F240" s="46">
        <v>84500</v>
      </c>
    </row>
    <row r="241" spans="1:6" x14ac:dyDescent="0.3">
      <c r="A241" s="2" t="s">
        <v>561</v>
      </c>
      <c r="B241" s="2" t="s">
        <v>562</v>
      </c>
      <c r="C241" s="2" t="s">
        <v>25</v>
      </c>
      <c r="D241" s="2" t="s">
        <v>112</v>
      </c>
      <c r="E241" s="2" t="s">
        <v>113</v>
      </c>
      <c r="F241" s="46">
        <v>23500</v>
      </c>
    </row>
    <row r="242" spans="1:6" x14ac:dyDescent="0.3">
      <c r="A242" s="2" t="s">
        <v>563</v>
      </c>
      <c r="B242" s="2" t="s">
        <v>564</v>
      </c>
      <c r="C242" s="2" t="s">
        <v>20</v>
      </c>
      <c r="D242" s="2" t="s">
        <v>21</v>
      </c>
      <c r="E242" s="2" t="s">
        <v>324</v>
      </c>
      <c r="F242" s="46">
        <v>55000</v>
      </c>
    </row>
    <row r="243" spans="1:6" x14ac:dyDescent="0.3">
      <c r="A243" s="2" t="s">
        <v>565</v>
      </c>
      <c r="B243" s="2" t="s">
        <v>566</v>
      </c>
      <c r="C243" s="2" t="s">
        <v>57</v>
      </c>
      <c r="D243" s="2" t="s">
        <v>42</v>
      </c>
      <c r="E243" s="2" t="s">
        <v>43</v>
      </c>
      <c r="F243" s="46">
        <v>44500</v>
      </c>
    </row>
    <row r="244" spans="1:6" x14ac:dyDescent="0.3">
      <c r="A244" s="2" t="s">
        <v>567</v>
      </c>
      <c r="B244" s="2" t="s">
        <v>568</v>
      </c>
      <c r="C244" s="2" t="s">
        <v>33</v>
      </c>
      <c r="D244" s="2" t="s">
        <v>42</v>
      </c>
      <c r="E244" s="2" t="s">
        <v>105</v>
      </c>
      <c r="F244" s="46">
        <v>47500</v>
      </c>
    </row>
    <row r="245" spans="1:6" x14ac:dyDescent="0.3">
      <c r="A245" s="2" t="s">
        <v>569</v>
      </c>
      <c r="B245" s="2" t="s">
        <v>570</v>
      </c>
      <c r="C245" s="2" t="s">
        <v>20</v>
      </c>
      <c r="D245" s="2" t="s">
        <v>8</v>
      </c>
      <c r="E245" s="2" t="s">
        <v>152</v>
      </c>
      <c r="F245" s="46">
        <v>84000</v>
      </c>
    </row>
    <row r="246" spans="1:6" x14ac:dyDescent="0.3">
      <c r="A246" s="2" t="s">
        <v>571</v>
      </c>
      <c r="B246" s="2" t="s">
        <v>572</v>
      </c>
      <c r="C246" s="2" t="s">
        <v>81</v>
      </c>
      <c r="D246" s="2" t="s">
        <v>29</v>
      </c>
      <c r="E246" s="2" t="s">
        <v>74</v>
      </c>
      <c r="F246" s="46">
        <v>29000</v>
      </c>
    </row>
    <row r="247" spans="1:6" x14ac:dyDescent="0.3">
      <c r="A247" s="2" t="s">
        <v>573</v>
      </c>
      <c r="B247" s="2" t="s">
        <v>574</v>
      </c>
      <c r="C247" s="2" t="s">
        <v>33</v>
      </c>
      <c r="D247" s="2" t="s">
        <v>16</v>
      </c>
      <c r="E247" s="2" t="s">
        <v>70</v>
      </c>
      <c r="F247" s="46">
        <v>49000</v>
      </c>
    </row>
    <row r="248" spans="1:6" x14ac:dyDescent="0.3">
      <c r="A248" s="2" t="s">
        <v>575</v>
      </c>
      <c r="B248" s="2" t="s">
        <v>576</v>
      </c>
      <c r="C248" s="2" t="s">
        <v>57</v>
      </c>
      <c r="D248" s="2" t="s">
        <v>29</v>
      </c>
      <c r="E248" s="2" t="s">
        <v>54</v>
      </c>
      <c r="F248" s="46">
        <v>28500</v>
      </c>
    </row>
    <row r="249" spans="1:6" x14ac:dyDescent="0.3">
      <c r="A249" s="2" t="s">
        <v>577</v>
      </c>
      <c r="B249" s="2" t="s">
        <v>578</v>
      </c>
      <c r="C249" s="2" t="s">
        <v>15</v>
      </c>
      <c r="D249" s="2" t="s">
        <v>8</v>
      </c>
      <c r="E249" s="2" t="s">
        <v>96</v>
      </c>
      <c r="F249" s="46">
        <v>44000</v>
      </c>
    </row>
    <row r="250" spans="1:6" x14ac:dyDescent="0.3">
      <c r="A250" s="2" t="s">
        <v>579</v>
      </c>
      <c r="B250" s="2" t="s">
        <v>580</v>
      </c>
      <c r="C250" s="2" t="s">
        <v>33</v>
      </c>
      <c r="D250" s="2" t="s">
        <v>112</v>
      </c>
      <c r="E250" s="2" t="s">
        <v>134</v>
      </c>
      <c r="F250" s="46">
        <v>24000</v>
      </c>
    </row>
    <row r="251" spans="1:6" x14ac:dyDescent="0.3">
      <c r="A251" s="2" t="s">
        <v>581</v>
      </c>
      <c r="B251" s="2" t="s">
        <v>582</v>
      </c>
      <c r="C251" s="2" t="s">
        <v>20</v>
      </c>
      <c r="D251" s="2" t="s">
        <v>47</v>
      </c>
      <c r="E251" s="2" t="s">
        <v>129</v>
      </c>
      <c r="F251" s="46">
        <v>80500</v>
      </c>
    </row>
    <row r="252" spans="1:6" x14ac:dyDescent="0.3">
      <c r="A252" s="2" t="s">
        <v>583</v>
      </c>
      <c r="B252" s="2" t="s">
        <v>584</v>
      </c>
      <c r="C252" s="2" t="s">
        <v>20</v>
      </c>
      <c r="D252" s="2" t="s">
        <v>21</v>
      </c>
      <c r="E252" s="2" t="s">
        <v>26</v>
      </c>
      <c r="F252" s="46">
        <v>30000</v>
      </c>
    </row>
    <row r="253" spans="1:6" x14ac:dyDescent="0.3">
      <c r="A253" s="2" t="s">
        <v>585</v>
      </c>
      <c r="B253" s="2" t="s">
        <v>586</v>
      </c>
      <c r="C253" s="2" t="s">
        <v>73</v>
      </c>
      <c r="D253" s="2" t="s">
        <v>77</v>
      </c>
      <c r="E253" s="2" t="s">
        <v>165</v>
      </c>
      <c r="F253" s="46">
        <v>82000</v>
      </c>
    </row>
    <row r="254" spans="1:6" x14ac:dyDescent="0.3">
      <c r="A254" s="2" t="s">
        <v>587</v>
      </c>
      <c r="B254" s="2" t="s">
        <v>588</v>
      </c>
      <c r="C254" s="2" t="s">
        <v>41</v>
      </c>
      <c r="D254" s="2" t="s">
        <v>42</v>
      </c>
      <c r="E254" s="2" t="s">
        <v>137</v>
      </c>
      <c r="F254" s="46">
        <v>36000</v>
      </c>
    </row>
    <row r="255" spans="1:6" x14ac:dyDescent="0.3">
      <c r="A255" s="2" t="s">
        <v>589</v>
      </c>
      <c r="B255" s="2" t="s">
        <v>590</v>
      </c>
      <c r="C255" s="2" t="s">
        <v>7</v>
      </c>
      <c r="D255" s="2" t="s">
        <v>77</v>
      </c>
      <c r="E255" s="2" t="s">
        <v>388</v>
      </c>
      <c r="F255" s="46">
        <v>47500</v>
      </c>
    </row>
    <row r="256" spans="1:6" x14ac:dyDescent="0.3">
      <c r="A256" s="2" t="s">
        <v>591</v>
      </c>
      <c r="B256" s="2" t="s">
        <v>592</v>
      </c>
      <c r="C256" s="2" t="s">
        <v>7</v>
      </c>
      <c r="D256" s="2" t="s">
        <v>61</v>
      </c>
      <c r="E256" s="2" t="s">
        <v>174</v>
      </c>
      <c r="F256" s="46">
        <v>64500</v>
      </c>
    </row>
    <row r="257" spans="1:6" x14ac:dyDescent="0.3">
      <c r="A257" s="2" t="s">
        <v>593</v>
      </c>
      <c r="B257" s="2" t="s">
        <v>594</v>
      </c>
      <c r="C257" s="2" t="s">
        <v>20</v>
      </c>
      <c r="D257" s="2" t="s">
        <v>42</v>
      </c>
      <c r="E257" s="2" t="s">
        <v>105</v>
      </c>
      <c r="F257" s="46">
        <v>38500</v>
      </c>
    </row>
    <row r="258" spans="1:6" x14ac:dyDescent="0.3">
      <c r="A258" s="2" t="s">
        <v>595</v>
      </c>
      <c r="B258" s="2" t="s">
        <v>596</v>
      </c>
      <c r="C258" s="2" t="s">
        <v>20</v>
      </c>
      <c r="D258" s="2" t="s">
        <v>77</v>
      </c>
      <c r="E258" s="2" t="s">
        <v>102</v>
      </c>
      <c r="F258" s="46">
        <v>27000</v>
      </c>
    </row>
    <row r="259" spans="1:6" x14ac:dyDescent="0.3">
      <c r="A259" s="2" t="s">
        <v>597</v>
      </c>
      <c r="B259" s="2" t="s">
        <v>598</v>
      </c>
      <c r="C259" s="2" t="s">
        <v>15</v>
      </c>
      <c r="D259" s="2" t="s">
        <v>112</v>
      </c>
      <c r="E259" s="2" t="s">
        <v>134</v>
      </c>
      <c r="F259" s="46">
        <v>24000</v>
      </c>
    </row>
    <row r="260" spans="1:6" x14ac:dyDescent="0.3">
      <c r="A260" s="2" t="s">
        <v>599</v>
      </c>
      <c r="B260" s="2" t="s">
        <v>600</v>
      </c>
      <c r="C260" s="2" t="s">
        <v>46</v>
      </c>
      <c r="D260" s="2" t="s">
        <v>112</v>
      </c>
      <c r="E260" s="2" t="s">
        <v>236</v>
      </c>
      <c r="F260" s="46">
        <v>40500</v>
      </c>
    </row>
    <row r="261" spans="1:6" x14ac:dyDescent="0.3">
      <c r="A261" s="2" t="s">
        <v>601</v>
      </c>
      <c r="B261" s="2" t="s">
        <v>602</v>
      </c>
      <c r="C261" s="2" t="s">
        <v>46</v>
      </c>
      <c r="D261" s="2" t="s">
        <v>42</v>
      </c>
      <c r="E261" s="2" t="s">
        <v>261</v>
      </c>
      <c r="F261" s="46">
        <v>30000</v>
      </c>
    </row>
    <row r="262" spans="1:6" x14ac:dyDescent="0.3">
      <c r="A262" s="2" t="s">
        <v>603</v>
      </c>
      <c r="B262" s="2" t="s">
        <v>604</v>
      </c>
      <c r="C262" s="2" t="s">
        <v>15</v>
      </c>
      <c r="D262" s="2" t="s">
        <v>29</v>
      </c>
      <c r="E262" s="2" t="s">
        <v>34</v>
      </c>
      <c r="F262" s="46">
        <v>31500</v>
      </c>
    </row>
    <row r="263" spans="1:6" x14ac:dyDescent="0.3">
      <c r="A263" s="2" t="s">
        <v>605</v>
      </c>
      <c r="B263" s="2" t="s">
        <v>606</v>
      </c>
      <c r="C263" s="2" t="s">
        <v>57</v>
      </c>
      <c r="D263" s="2" t="s">
        <v>42</v>
      </c>
      <c r="E263" s="2" t="s">
        <v>105</v>
      </c>
      <c r="F263" s="46">
        <v>41500</v>
      </c>
    </row>
    <row r="264" spans="1:6" x14ac:dyDescent="0.3">
      <c r="A264" s="2" t="s">
        <v>607</v>
      </c>
      <c r="B264" s="2" t="s">
        <v>608</v>
      </c>
      <c r="C264" s="2" t="s">
        <v>33</v>
      </c>
      <c r="D264" s="2" t="s">
        <v>16</v>
      </c>
      <c r="E264" s="2" t="s">
        <v>17</v>
      </c>
      <c r="F264" s="46">
        <v>44000</v>
      </c>
    </row>
    <row r="265" spans="1:6" x14ac:dyDescent="0.3">
      <c r="A265" s="2" t="s">
        <v>609</v>
      </c>
      <c r="B265" s="2" t="s">
        <v>610</v>
      </c>
      <c r="C265" s="2" t="s">
        <v>73</v>
      </c>
      <c r="D265" s="2" t="s">
        <v>82</v>
      </c>
      <c r="E265" s="2" t="s">
        <v>83</v>
      </c>
      <c r="F265" s="46">
        <v>26500</v>
      </c>
    </row>
    <row r="266" spans="1:6" x14ac:dyDescent="0.3">
      <c r="A266" s="2" t="s">
        <v>611</v>
      </c>
      <c r="B266" s="2" t="s">
        <v>612</v>
      </c>
      <c r="C266" s="2" t="s">
        <v>46</v>
      </c>
      <c r="D266" s="2" t="s">
        <v>37</v>
      </c>
      <c r="E266" s="2" t="s">
        <v>405</v>
      </c>
      <c r="F266" s="46">
        <v>23500</v>
      </c>
    </row>
    <row r="267" spans="1:6" x14ac:dyDescent="0.3">
      <c r="A267" s="2" t="s">
        <v>613</v>
      </c>
      <c r="B267" s="2" t="s">
        <v>614</v>
      </c>
      <c r="C267" s="2" t="s">
        <v>7</v>
      </c>
      <c r="D267" s="2" t="s">
        <v>29</v>
      </c>
      <c r="E267" s="2" t="s">
        <v>216</v>
      </c>
      <c r="F267" s="46">
        <v>28000</v>
      </c>
    </row>
    <row r="268" spans="1:6" x14ac:dyDescent="0.3">
      <c r="A268" s="2" t="s">
        <v>615</v>
      </c>
      <c r="B268" s="2" t="s">
        <v>616</v>
      </c>
      <c r="C268" s="2" t="s">
        <v>33</v>
      </c>
      <c r="D268" s="2" t="s">
        <v>42</v>
      </c>
      <c r="E268" s="2" t="s">
        <v>105</v>
      </c>
      <c r="F268" s="46">
        <v>36000</v>
      </c>
    </row>
    <row r="269" spans="1:6" x14ac:dyDescent="0.3">
      <c r="A269" s="2" t="s">
        <v>617</v>
      </c>
      <c r="B269" s="2" t="s">
        <v>618</v>
      </c>
      <c r="C269" s="2" t="s">
        <v>20</v>
      </c>
      <c r="D269" s="2" t="s">
        <v>112</v>
      </c>
      <c r="E269" s="2" t="s">
        <v>134</v>
      </c>
      <c r="F269" s="46">
        <v>27500</v>
      </c>
    </row>
    <row r="270" spans="1:6" x14ac:dyDescent="0.3">
      <c r="A270" s="2" t="s">
        <v>619</v>
      </c>
      <c r="B270" s="2" t="s">
        <v>620</v>
      </c>
      <c r="C270" s="2" t="s">
        <v>20</v>
      </c>
      <c r="D270" s="2" t="s">
        <v>42</v>
      </c>
      <c r="E270" s="2" t="s">
        <v>283</v>
      </c>
      <c r="F270" s="46">
        <v>61500</v>
      </c>
    </row>
    <row r="271" spans="1:6" x14ac:dyDescent="0.3">
      <c r="A271" s="2" t="s">
        <v>621</v>
      </c>
      <c r="B271" s="2" t="s">
        <v>622</v>
      </c>
      <c r="C271" s="2" t="s">
        <v>57</v>
      </c>
      <c r="D271" s="2" t="s">
        <v>77</v>
      </c>
      <c r="E271" s="2" t="s">
        <v>102</v>
      </c>
      <c r="F271" s="46">
        <v>29500</v>
      </c>
    </row>
    <row r="272" spans="1:6" x14ac:dyDescent="0.3">
      <c r="A272" s="2" t="s">
        <v>623</v>
      </c>
      <c r="B272" s="2" t="s">
        <v>624</v>
      </c>
      <c r="C272" s="2" t="s">
        <v>73</v>
      </c>
      <c r="D272" s="2" t="s">
        <v>8</v>
      </c>
      <c r="E272" s="2" t="s">
        <v>96</v>
      </c>
      <c r="F272" s="46">
        <v>39000</v>
      </c>
    </row>
    <row r="273" spans="1:6" x14ac:dyDescent="0.3">
      <c r="A273" s="2" t="s">
        <v>625</v>
      </c>
      <c r="B273" s="2" t="s">
        <v>626</v>
      </c>
      <c r="C273" s="2" t="s">
        <v>73</v>
      </c>
      <c r="D273" s="2" t="s">
        <v>61</v>
      </c>
      <c r="E273" s="2" t="s">
        <v>233</v>
      </c>
      <c r="F273" s="46">
        <v>72500</v>
      </c>
    </row>
    <row r="274" spans="1:6" x14ac:dyDescent="0.3">
      <c r="A274" s="2" t="s">
        <v>627</v>
      </c>
      <c r="B274" s="2" t="s">
        <v>628</v>
      </c>
      <c r="C274" s="2" t="s">
        <v>20</v>
      </c>
      <c r="D274" s="2" t="s">
        <v>16</v>
      </c>
      <c r="E274" s="2" t="s">
        <v>70</v>
      </c>
      <c r="F274" s="46">
        <v>47500</v>
      </c>
    </row>
    <row r="275" spans="1:6" x14ac:dyDescent="0.3">
      <c r="A275" s="2" t="s">
        <v>629</v>
      </c>
      <c r="B275" s="2" t="s">
        <v>630</v>
      </c>
      <c r="C275" s="2" t="s">
        <v>46</v>
      </c>
      <c r="D275" s="2" t="s">
        <v>37</v>
      </c>
      <c r="E275" s="2" t="s">
        <v>38</v>
      </c>
      <c r="F275" s="46">
        <v>31500</v>
      </c>
    </row>
    <row r="276" spans="1:6" x14ac:dyDescent="0.3">
      <c r="A276" s="2" t="s">
        <v>631</v>
      </c>
      <c r="B276" s="2" t="s">
        <v>632</v>
      </c>
      <c r="C276" s="2" t="s">
        <v>41</v>
      </c>
      <c r="D276" s="2" t="s">
        <v>77</v>
      </c>
      <c r="E276" s="2" t="s">
        <v>388</v>
      </c>
      <c r="F276" s="46">
        <v>44500</v>
      </c>
    </row>
    <row r="277" spans="1:6" x14ac:dyDescent="0.3">
      <c r="A277" s="2" t="s">
        <v>633</v>
      </c>
      <c r="B277" s="2" t="s">
        <v>634</v>
      </c>
      <c r="C277" s="2" t="s">
        <v>15</v>
      </c>
      <c r="D277" s="2" t="s">
        <v>16</v>
      </c>
      <c r="E277" s="2" t="s">
        <v>432</v>
      </c>
      <c r="F277" s="46">
        <v>26000</v>
      </c>
    </row>
    <row r="278" spans="1:6" x14ac:dyDescent="0.3">
      <c r="A278" s="2" t="s">
        <v>635</v>
      </c>
      <c r="B278" s="2" t="s">
        <v>636</v>
      </c>
      <c r="C278" s="2" t="s">
        <v>33</v>
      </c>
      <c r="D278" s="2" t="s">
        <v>37</v>
      </c>
      <c r="E278" s="2" t="s">
        <v>405</v>
      </c>
      <c r="F278" s="46">
        <v>26500</v>
      </c>
    </row>
    <row r="279" spans="1:6" x14ac:dyDescent="0.3">
      <c r="A279" s="2" t="s">
        <v>637</v>
      </c>
      <c r="B279" s="2" t="s">
        <v>638</v>
      </c>
      <c r="C279" s="2" t="s">
        <v>25</v>
      </c>
      <c r="D279" s="2" t="s">
        <v>77</v>
      </c>
      <c r="E279" s="2" t="s">
        <v>219</v>
      </c>
      <c r="F279" s="46">
        <v>36000</v>
      </c>
    </row>
    <row r="280" spans="1:6" x14ac:dyDescent="0.3">
      <c r="A280" s="2" t="s">
        <v>639</v>
      </c>
      <c r="B280" s="2" t="s">
        <v>640</v>
      </c>
      <c r="C280" s="2" t="s">
        <v>41</v>
      </c>
      <c r="D280" s="2" t="s">
        <v>118</v>
      </c>
      <c r="E280" s="2" t="s">
        <v>177</v>
      </c>
      <c r="F280" s="46">
        <v>33000</v>
      </c>
    </row>
    <row r="281" spans="1:6" x14ac:dyDescent="0.3">
      <c r="A281" s="2" t="s">
        <v>641</v>
      </c>
      <c r="B281" s="2" t="s">
        <v>642</v>
      </c>
      <c r="C281" s="2" t="s">
        <v>46</v>
      </c>
      <c r="D281" s="2" t="s">
        <v>77</v>
      </c>
      <c r="E281" s="2" t="s">
        <v>78</v>
      </c>
      <c r="F281" s="46">
        <v>34500</v>
      </c>
    </row>
    <row r="282" spans="1:6" x14ac:dyDescent="0.3">
      <c r="A282" s="2" t="s">
        <v>643</v>
      </c>
      <c r="B282" s="2" t="s">
        <v>644</v>
      </c>
      <c r="C282" s="2" t="s">
        <v>15</v>
      </c>
      <c r="D282" s="2" t="s">
        <v>77</v>
      </c>
      <c r="E282" s="2" t="s">
        <v>388</v>
      </c>
      <c r="F282" s="46">
        <v>54500</v>
      </c>
    </row>
    <row r="283" spans="1:6" x14ac:dyDescent="0.3">
      <c r="A283" s="2" t="s">
        <v>645</v>
      </c>
      <c r="B283" s="2" t="s">
        <v>646</v>
      </c>
      <c r="C283" s="2" t="s">
        <v>33</v>
      </c>
      <c r="D283" s="2" t="s">
        <v>112</v>
      </c>
      <c r="E283" s="2" t="s">
        <v>134</v>
      </c>
      <c r="F283" s="46">
        <v>23000</v>
      </c>
    </row>
    <row r="284" spans="1:6" x14ac:dyDescent="0.3">
      <c r="A284" s="2" t="s">
        <v>647</v>
      </c>
      <c r="B284" s="2" t="s">
        <v>648</v>
      </c>
      <c r="C284" s="2" t="s">
        <v>33</v>
      </c>
      <c r="D284" s="2" t="s">
        <v>29</v>
      </c>
      <c r="E284" s="2" t="s">
        <v>216</v>
      </c>
      <c r="F284" s="46">
        <v>31500</v>
      </c>
    </row>
    <row r="285" spans="1:6" x14ac:dyDescent="0.3">
      <c r="A285" s="2" t="s">
        <v>649</v>
      </c>
      <c r="B285" s="2" t="s">
        <v>650</v>
      </c>
      <c r="C285" s="2" t="s">
        <v>46</v>
      </c>
      <c r="D285" s="2" t="s">
        <v>21</v>
      </c>
      <c r="E285" s="2" t="s">
        <v>26</v>
      </c>
      <c r="F285" s="46">
        <v>24000</v>
      </c>
    </row>
    <row r="286" spans="1:6" x14ac:dyDescent="0.3">
      <c r="A286" s="2" t="s">
        <v>651</v>
      </c>
      <c r="B286" s="2" t="s">
        <v>652</v>
      </c>
      <c r="C286" s="2" t="s">
        <v>25</v>
      </c>
      <c r="D286" s="2" t="s">
        <v>47</v>
      </c>
      <c r="E286" s="2" t="s">
        <v>48</v>
      </c>
      <c r="F286" s="46">
        <v>37500</v>
      </c>
    </row>
    <row r="287" spans="1:6" x14ac:dyDescent="0.3">
      <c r="A287" s="2" t="s">
        <v>653</v>
      </c>
      <c r="B287" s="2" t="s">
        <v>654</v>
      </c>
      <c r="C287" s="2" t="s">
        <v>57</v>
      </c>
      <c r="D287" s="2" t="s">
        <v>82</v>
      </c>
      <c r="E287" s="2" t="s">
        <v>521</v>
      </c>
      <c r="F287" s="46">
        <v>29500</v>
      </c>
    </row>
    <row r="288" spans="1:6" x14ac:dyDescent="0.3">
      <c r="A288" s="2" t="s">
        <v>655</v>
      </c>
      <c r="B288" s="2" t="s">
        <v>656</v>
      </c>
      <c r="C288" s="2" t="s">
        <v>25</v>
      </c>
      <c r="D288" s="2" t="s">
        <v>61</v>
      </c>
      <c r="E288" s="2" t="s">
        <v>233</v>
      </c>
      <c r="F288" s="46">
        <v>76500</v>
      </c>
    </row>
    <row r="289" spans="1:6" x14ac:dyDescent="0.3">
      <c r="A289" s="2" t="s">
        <v>657</v>
      </c>
      <c r="B289" s="2" t="s">
        <v>658</v>
      </c>
      <c r="C289" s="2" t="s">
        <v>25</v>
      </c>
      <c r="D289" s="2" t="s">
        <v>29</v>
      </c>
      <c r="E289" s="2" t="s">
        <v>216</v>
      </c>
      <c r="F289" s="46">
        <v>32500</v>
      </c>
    </row>
    <row r="290" spans="1:6" x14ac:dyDescent="0.3">
      <c r="A290" s="2" t="s">
        <v>659</v>
      </c>
      <c r="B290" s="2" t="s">
        <v>660</v>
      </c>
      <c r="C290" s="2" t="s">
        <v>46</v>
      </c>
      <c r="D290" s="2" t="s">
        <v>77</v>
      </c>
      <c r="E290" s="2" t="s">
        <v>219</v>
      </c>
      <c r="F290" s="46">
        <v>38000</v>
      </c>
    </row>
    <row r="291" spans="1:6" x14ac:dyDescent="0.3">
      <c r="A291" s="2" t="s">
        <v>661</v>
      </c>
      <c r="B291" s="2" t="s">
        <v>662</v>
      </c>
      <c r="C291" s="2" t="s">
        <v>25</v>
      </c>
      <c r="D291" s="2" t="s">
        <v>29</v>
      </c>
      <c r="E291" s="2" t="s">
        <v>54</v>
      </c>
      <c r="F291" s="46">
        <v>29500</v>
      </c>
    </row>
    <row r="292" spans="1:6" x14ac:dyDescent="0.3">
      <c r="A292" s="2" t="s">
        <v>663</v>
      </c>
      <c r="B292" s="2" t="s">
        <v>664</v>
      </c>
      <c r="C292" s="2" t="s">
        <v>41</v>
      </c>
      <c r="D292" s="2" t="s">
        <v>8</v>
      </c>
      <c r="E292" s="2" t="s">
        <v>12</v>
      </c>
      <c r="F292" s="46">
        <v>45500</v>
      </c>
    </row>
    <row r="293" spans="1:6" x14ac:dyDescent="0.3">
      <c r="A293" s="2" t="s">
        <v>665</v>
      </c>
      <c r="B293" s="2" t="s">
        <v>666</v>
      </c>
      <c r="C293" s="2" t="s">
        <v>20</v>
      </c>
      <c r="D293" s="2" t="s">
        <v>112</v>
      </c>
      <c r="E293" s="2" t="s">
        <v>113</v>
      </c>
      <c r="F293" s="46">
        <v>30000</v>
      </c>
    </row>
    <row r="294" spans="1:6" x14ac:dyDescent="0.3">
      <c r="A294" s="2" t="s">
        <v>667</v>
      </c>
      <c r="B294" s="2" t="s">
        <v>668</v>
      </c>
      <c r="C294" s="2" t="s">
        <v>15</v>
      </c>
      <c r="D294" s="2" t="s">
        <v>37</v>
      </c>
      <c r="E294" s="2" t="s">
        <v>58</v>
      </c>
      <c r="F294" s="46">
        <v>40000</v>
      </c>
    </row>
    <row r="295" spans="1:6" x14ac:dyDescent="0.3">
      <c r="A295" s="2" t="s">
        <v>669</v>
      </c>
      <c r="B295" s="2" t="s">
        <v>670</v>
      </c>
      <c r="C295" s="2" t="s">
        <v>7</v>
      </c>
      <c r="D295" s="2" t="s">
        <v>77</v>
      </c>
      <c r="E295" s="2" t="s">
        <v>388</v>
      </c>
      <c r="F295" s="46">
        <v>48500</v>
      </c>
    </row>
    <row r="296" spans="1:6" x14ac:dyDescent="0.3">
      <c r="A296" s="2" t="s">
        <v>671</v>
      </c>
      <c r="B296" s="2" t="s">
        <v>672</v>
      </c>
      <c r="C296" s="2" t="s">
        <v>46</v>
      </c>
      <c r="D296" s="2" t="s">
        <v>77</v>
      </c>
      <c r="E296" s="2" t="s">
        <v>219</v>
      </c>
      <c r="F296" s="46">
        <v>46500</v>
      </c>
    </row>
    <row r="297" spans="1:6" x14ac:dyDescent="0.3">
      <c r="A297" s="2" t="s">
        <v>673</v>
      </c>
      <c r="B297" s="2" t="s">
        <v>674</v>
      </c>
      <c r="C297" s="2" t="s">
        <v>7</v>
      </c>
      <c r="D297" s="2" t="s">
        <v>61</v>
      </c>
      <c r="E297" s="2" t="s">
        <v>62</v>
      </c>
      <c r="F297" s="46">
        <v>40000</v>
      </c>
    </row>
    <row r="298" spans="1:6" x14ac:dyDescent="0.3">
      <c r="A298" s="2" t="s">
        <v>675</v>
      </c>
      <c r="B298" s="2" t="s">
        <v>676</v>
      </c>
      <c r="C298" s="2" t="s">
        <v>46</v>
      </c>
      <c r="D298" s="2" t="s">
        <v>42</v>
      </c>
      <c r="E298" s="2" t="s">
        <v>105</v>
      </c>
      <c r="F298" s="46">
        <v>39500</v>
      </c>
    </row>
    <row r="299" spans="1:6" x14ac:dyDescent="0.3">
      <c r="A299" s="2" t="s">
        <v>677</v>
      </c>
      <c r="B299" s="2" t="s">
        <v>678</v>
      </c>
      <c r="C299" s="2" t="s">
        <v>57</v>
      </c>
      <c r="D299" s="2" t="s">
        <v>42</v>
      </c>
      <c r="E299" s="2" t="s">
        <v>43</v>
      </c>
      <c r="F299" s="46">
        <v>37500</v>
      </c>
    </row>
    <row r="300" spans="1:6" x14ac:dyDescent="0.3">
      <c r="A300" s="2" t="s">
        <v>679</v>
      </c>
      <c r="B300" s="2" t="s">
        <v>680</v>
      </c>
      <c r="C300" s="2" t="s">
        <v>81</v>
      </c>
      <c r="D300" s="2" t="s">
        <v>8</v>
      </c>
      <c r="E300" s="2" t="s">
        <v>9</v>
      </c>
      <c r="F300" s="46">
        <v>23000</v>
      </c>
    </row>
    <row r="301" spans="1:6" x14ac:dyDescent="0.3">
      <c r="A301" s="2" t="s">
        <v>681</v>
      </c>
      <c r="B301" s="2" t="s">
        <v>682</v>
      </c>
      <c r="C301" s="2" t="s">
        <v>25</v>
      </c>
      <c r="D301" s="2" t="s">
        <v>29</v>
      </c>
      <c r="E301" s="2" t="s">
        <v>74</v>
      </c>
      <c r="F301" s="46">
        <v>23500</v>
      </c>
    </row>
    <row r="302" spans="1:6" x14ac:dyDescent="0.3">
      <c r="A302" s="2" t="s">
        <v>683</v>
      </c>
      <c r="B302" s="2" t="s">
        <v>684</v>
      </c>
      <c r="C302" s="2" t="s">
        <v>81</v>
      </c>
      <c r="D302" s="2" t="s">
        <v>37</v>
      </c>
      <c r="E302" s="2" t="s">
        <v>38</v>
      </c>
      <c r="F302" s="46">
        <v>27000</v>
      </c>
    </row>
    <row r="303" spans="1:6" x14ac:dyDescent="0.3">
      <c r="A303" s="2" t="s">
        <v>685</v>
      </c>
      <c r="B303" s="2" t="s">
        <v>686</v>
      </c>
      <c r="C303" s="2" t="s">
        <v>7</v>
      </c>
      <c r="D303" s="2" t="s">
        <v>77</v>
      </c>
      <c r="E303" s="2" t="s">
        <v>388</v>
      </c>
      <c r="F303" s="46">
        <v>42000</v>
      </c>
    </row>
  </sheetData>
  <mergeCells count="1">
    <mergeCell ref="A1:F2"/>
  </mergeCells>
  <pageMargins left="0.75" right="0.75" top="1" bottom="1" header="0.5" footer="0.5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C63D-AD7E-443F-8BEC-A6FE29D3A711}">
  <dimension ref="A1:K302"/>
  <sheetViews>
    <sheetView zoomScaleNormal="100" workbookViewId="0">
      <pane ySplit="2" topLeftCell="A12" activePane="bottomLeft" state="frozen"/>
      <selection pane="bottomLeft" activeCell="B25" sqref="B25"/>
    </sheetView>
  </sheetViews>
  <sheetFormatPr defaultRowHeight="14.4" x14ac:dyDescent="0.3"/>
  <cols>
    <col min="1" max="1" width="21" bestFit="1" customWidth="1"/>
    <col min="2" max="2" width="19" bestFit="1" customWidth="1"/>
    <col min="3" max="3" width="10.6640625" bestFit="1" customWidth="1"/>
    <col min="4" max="4" width="19.5546875" bestFit="1" customWidth="1"/>
    <col min="5" max="5" width="33.6640625" bestFit="1" customWidth="1"/>
    <col min="6" max="6" width="11.33203125" bestFit="1" customWidth="1"/>
    <col min="7" max="7" width="10.88671875" bestFit="1" customWidth="1"/>
    <col min="8" max="8" width="13.6640625" bestFit="1" customWidth="1"/>
    <col min="9" max="9" width="7.5546875" bestFit="1" customWidth="1"/>
    <col min="10" max="10" width="8.77734375" bestFit="1" customWidth="1"/>
    <col min="11" max="12" width="10.21875" bestFit="1" customWidth="1"/>
  </cols>
  <sheetData>
    <row r="1" spans="1:11" ht="61.2" x14ac:dyDescent="0.3">
      <c r="A1" s="48" t="s">
        <v>697</v>
      </c>
      <c r="B1" s="49"/>
      <c r="C1" s="49"/>
      <c r="D1" s="49"/>
      <c r="E1" s="49"/>
      <c r="F1" s="49"/>
      <c r="G1" s="49"/>
      <c r="H1" s="49"/>
      <c r="I1" s="49"/>
      <c r="J1" s="49"/>
      <c r="K1" s="50"/>
    </row>
    <row r="2" spans="1:11" ht="18" x14ac:dyDescent="0.3">
      <c r="A2" s="12" t="s">
        <v>689</v>
      </c>
      <c r="B2" s="3" t="s">
        <v>690</v>
      </c>
      <c r="C2" s="3" t="s">
        <v>2</v>
      </c>
      <c r="D2" s="3" t="s">
        <v>3</v>
      </c>
      <c r="E2" s="3" t="s">
        <v>4</v>
      </c>
      <c r="F2" s="3" t="s">
        <v>691</v>
      </c>
      <c r="G2" s="3" t="s">
        <v>692</v>
      </c>
      <c r="H2" s="3" t="s">
        <v>693</v>
      </c>
      <c r="I2" s="3" t="s">
        <v>694</v>
      </c>
      <c r="J2" s="3" t="s">
        <v>695</v>
      </c>
      <c r="K2" s="13" t="s">
        <v>696</v>
      </c>
    </row>
    <row r="3" spans="1:11" x14ac:dyDescent="0.3">
      <c r="A3" s="10" t="str" cm="1">
        <f t="array" ref="A3:E302">_xlfn.SORTBY('EMPLOYEE MASTER DATA'!A4:E303,'EMPLOYEE MASTER DATA'!D4:D303,1)</f>
        <v>EMP008</v>
      </c>
      <c r="B3" s="4" t="str">
        <v>Sathish G</v>
      </c>
      <c r="C3" s="4" t="str">
        <v>Kochi</v>
      </c>
      <c r="D3" s="4" t="str">
        <v>Accounts</v>
      </c>
      <c r="E3" s="4" t="str">
        <v>Accountant</v>
      </c>
      <c r="F3" s="5">
        <v>0.3888888888888889</v>
      </c>
      <c r="G3" s="5">
        <v>0.78888888888888886</v>
      </c>
      <c r="H3" s="6">
        <f>IF(OR(F3="",G3=""),0,G3-F3-TIME(1,0,0))</f>
        <v>0.35833333333333328</v>
      </c>
      <c r="I3" s="4" t="str">
        <f>IF(F3="","Absent",IF(F3&gt;TIME(9,30,0),"Late","Present"))</f>
        <v>Present</v>
      </c>
      <c r="J3" s="7">
        <f>IF(F3="","",IF(F3&lt;=TIME(9,30,0),0,F3-TIME(9,30,0)))</f>
        <v>0</v>
      </c>
      <c r="K3" s="14" t="str">
        <f>IF(AND(F3&lt;&gt;"",G3=""),"On Duty","")</f>
        <v/>
      </c>
    </row>
    <row r="4" spans="1:11" x14ac:dyDescent="0.3">
      <c r="A4" s="10" t="str">
        <v>EMP011</v>
      </c>
      <c r="B4" s="4" t="str">
        <v>Vijay T</v>
      </c>
      <c r="C4" s="4" t="str">
        <v>Chennai</v>
      </c>
      <c r="D4" s="4" t="str">
        <v>Accounts</v>
      </c>
      <c r="E4" s="4" t="str">
        <v>Finance Executive</v>
      </c>
      <c r="F4" s="5">
        <v>0.38680555555555557</v>
      </c>
      <c r="G4" s="5">
        <v>0.78263888888888899</v>
      </c>
      <c r="H4" s="6">
        <f t="shared" ref="H4:H67" si="0">IF(OR(F4="",G4=""),0,G4-F4-TIME(1,0,0))</f>
        <v>0.35416666666666674</v>
      </c>
      <c r="I4" s="4" t="str">
        <f t="shared" ref="I4:I67" si="1">IF(F4="","Absent",IF(F4&gt;TIME(9,30,0),"Late","Present"))</f>
        <v>Present</v>
      </c>
      <c r="J4" s="7">
        <f t="shared" ref="J4:J67" si="2">IF(F4="","",IF(F4&lt;=TIME(9,30,0),0,F4-TIME(9,30,0)))</f>
        <v>0</v>
      </c>
      <c r="K4" s="14" t="str">
        <f t="shared" ref="K4:K67" si="3">IF(AND(F4&lt;&gt;"",G4=""),"On Duty","")</f>
        <v/>
      </c>
    </row>
    <row r="5" spans="1:11" x14ac:dyDescent="0.3">
      <c r="A5" s="10" t="str">
        <v>EMP013</v>
      </c>
      <c r="B5" s="4" t="str">
        <v>Madhan Selvam</v>
      </c>
      <c r="C5" s="4" t="str">
        <v>Mumbai</v>
      </c>
      <c r="D5" s="4" t="str">
        <v>Accounts</v>
      </c>
      <c r="E5" s="4" t="str">
        <v>Senior Accountant</v>
      </c>
      <c r="F5" s="5">
        <v>0.40625</v>
      </c>
      <c r="G5" s="5"/>
      <c r="H5" s="6">
        <f>IF(OR(F5="",G5=""),0,G5-F5-TIME(1,0,0))</f>
        <v>0</v>
      </c>
      <c r="I5" s="4" t="str">
        <f t="shared" si="1"/>
        <v>Late</v>
      </c>
      <c r="J5" s="7">
        <f t="shared" si="2"/>
        <v>1.0416666666666685E-2</v>
      </c>
      <c r="K5" s="14" t="str">
        <f t="shared" si="3"/>
        <v>On Duty</v>
      </c>
    </row>
    <row r="6" spans="1:11" x14ac:dyDescent="0.3">
      <c r="A6" s="10" t="str">
        <v>EMP029</v>
      </c>
      <c r="B6" s="4" t="str">
        <v>Harish N</v>
      </c>
      <c r="C6" s="4" t="str">
        <v>Pune</v>
      </c>
      <c r="D6" s="4" t="str">
        <v>Accounts</v>
      </c>
      <c r="E6" s="4" t="str">
        <v>Accountant</v>
      </c>
      <c r="F6" s="5">
        <v>0.38680555555555557</v>
      </c>
      <c r="G6" s="5">
        <v>0.78125</v>
      </c>
      <c r="H6" s="6">
        <f t="shared" si="0"/>
        <v>0.35277777777777775</v>
      </c>
      <c r="I6" s="4" t="str">
        <f t="shared" si="1"/>
        <v>Present</v>
      </c>
      <c r="J6" s="7">
        <f t="shared" si="2"/>
        <v>0</v>
      </c>
      <c r="K6" s="14" t="str">
        <f t="shared" si="3"/>
        <v/>
      </c>
    </row>
    <row r="7" spans="1:11" x14ac:dyDescent="0.3">
      <c r="A7" s="10" t="str">
        <v>EMP042</v>
      </c>
      <c r="B7" s="4" t="str">
        <v>Prakash S</v>
      </c>
      <c r="C7" s="4" t="str">
        <v>Coimbatore</v>
      </c>
      <c r="D7" s="4" t="str">
        <v>Accounts</v>
      </c>
      <c r="E7" s="4" t="str">
        <v>Accounts Manager</v>
      </c>
      <c r="F7" s="5">
        <v>0.39305555555555555</v>
      </c>
      <c r="G7" s="5"/>
      <c r="H7" s="6">
        <f t="shared" si="0"/>
        <v>0</v>
      </c>
      <c r="I7" s="4" t="str">
        <f t="shared" si="1"/>
        <v>Present</v>
      </c>
      <c r="J7" s="7">
        <f t="shared" si="2"/>
        <v>0</v>
      </c>
      <c r="K7" s="14" t="str">
        <f t="shared" si="3"/>
        <v>On Duty</v>
      </c>
    </row>
    <row r="8" spans="1:11" x14ac:dyDescent="0.3">
      <c r="A8" s="10" t="str">
        <v>EMP050</v>
      </c>
      <c r="B8" s="4" t="str">
        <v>Manoj P</v>
      </c>
      <c r="C8" s="4" t="str">
        <v>Chennai</v>
      </c>
      <c r="D8" s="4" t="str">
        <v>Accounts</v>
      </c>
      <c r="E8" s="4" t="str">
        <v>Senior Accountant</v>
      </c>
      <c r="F8" s="5">
        <v>0.39444444444444443</v>
      </c>
      <c r="G8" s="5">
        <v>0.78472222222222221</v>
      </c>
      <c r="H8" s="6">
        <f t="shared" si="0"/>
        <v>0.34861111111111109</v>
      </c>
      <c r="I8" s="4" t="str">
        <f t="shared" si="1"/>
        <v>Present</v>
      </c>
      <c r="J8" s="7">
        <f t="shared" si="2"/>
        <v>0</v>
      </c>
      <c r="K8" s="14" t="str">
        <f t="shared" si="3"/>
        <v/>
      </c>
    </row>
    <row r="9" spans="1:11" x14ac:dyDescent="0.3">
      <c r="A9" s="10" t="str">
        <v>EMP067</v>
      </c>
      <c r="B9" s="4" t="str">
        <v>Vignesh Raja</v>
      </c>
      <c r="C9" s="4" t="str">
        <v>Mumbai</v>
      </c>
      <c r="D9" s="4" t="str">
        <v>Accounts</v>
      </c>
      <c r="E9" s="4" t="str">
        <v>Finance Executive</v>
      </c>
      <c r="F9" s="5">
        <v>0.38819444444444445</v>
      </c>
      <c r="G9" s="5"/>
      <c r="H9" s="6">
        <f t="shared" si="0"/>
        <v>0</v>
      </c>
      <c r="I9" s="4" t="str">
        <f t="shared" si="1"/>
        <v>Present</v>
      </c>
      <c r="J9" s="7">
        <f t="shared" si="2"/>
        <v>0</v>
      </c>
      <c r="K9" s="14" t="str">
        <f t="shared" si="3"/>
        <v>On Duty</v>
      </c>
    </row>
    <row r="10" spans="1:11" x14ac:dyDescent="0.3">
      <c r="A10" s="10" t="str">
        <v>EMP069</v>
      </c>
      <c r="B10" s="4" t="str">
        <v>Yogesh M</v>
      </c>
      <c r="C10" s="4" t="str">
        <v>Bengaluru</v>
      </c>
      <c r="D10" s="4" t="str">
        <v>Accounts</v>
      </c>
      <c r="E10" s="4" t="str">
        <v>Accounts Manager</v>
      </c>
      <c r="F10" s="5">
        <v>0.40416666666666662</v>
      </c>
      <c r="G10" s="5">
        <v>0.77708333333333324</v>
      </c>
      <c r="H10" s="6">
        <f t="shared" si="0"/>
        <v>0.33124999999999993</v>
      </c>
      <c r="I10" s="4" t="str">
        <f t="shared" si="1"/>
        <v>Late</v>
      </c>
      <c r="J10" s="7">
        <f t="shared" si="2"/>
        <v>8.3333333333333037E-3</v>
      </c>
      <c r="K10" s="14" t="str">
        <f t="shared" si="3"/>
        <v/>
      </c>
    </row>
    <row r="11" spans="1:11" x14ac:dyDescent="0.3">
      <c r="A11" s="10" t="str">
        <v>EMP070</v>
      </c>
      <c r="B11" s="4" t="str">
        <v>Rahul Krishnan</v>
      </c>
      <c r="C11" s="4" t="str">
        <v>Chennai</v>
      </c>
      <c r="D11" s="4" t="str">
        <v>Accounts</v>
      </c>
      <c r="E11" s="4" t="str">
        <v>Accounts Manager</v>
      </c>
      <c r="F11" s="5">
        <v>0.40208333333333335</v>
      </c>
      <c r="G11" s="5"/>
      <c r="H11" s="6">
        <f t="shared" si="0"/>
        <v>0</v>
      </c>
      <c r="I11" s="4" t="str">
        <f t="shared" si="1"/>
        <v>Late</v>
      </c>
      <c r="J11" s="7">
        <f t="shared" si="2"/>
        <v>6.2500000000000333E-3</v>
      </c>
      <c r="K11" s="14" t="str">
        <f t="shared" si="3"/>
        <v>On Duty</v>
      </c>
    </row>
    <row r="12" spans="1:11" x14ac:dyDescent="0.3">
      <c r="A12" s="10" t="str">
        <v>EMP072</v>
      </c>
      <c r="B12" s="4" t="str">
        <v>Sanjay S</v>
      </c>
      <c r="C12" s="4" t="str">
        <v>Bengaluru</v>
      </c>
      <c r="D12" s="4" t="str">
        <v>Accounts</v>
      </c>
      <c r="E12" s="4" t="str">
        <v>Finance Executive</v>
      </c>
      <c r="F12" s="5">
        <v>0.38263888888888892</v>
      </c>
      <c r="G12" s="5">
        <v>0.77916666666666667</v>
      </c>
      <c r="H12" s="6">
        <f t="shared" si="0"/>
        <v>0.35486111111111107</v>
      </c>
      <c r="I12" s="4" t="str">
        <f t="shared" si="1"/>
        <v>Present</v>
      </c>
      <c r="J12" s="7">
        <f t="shared" si="2"/>
        <v>0</v>
      </c>
      <c r="K12" s="14" t="str">
        <f t="shared" si="3"/>
        <v/>
      </c>
    </row>
    <row r="13" spans="1:11" x14ac:dyDescent="0.3">
      <c r="A13" s="10" t="str">
        <v>EMP076</v>
      </c>
      <c r="B13" s="4" t="str">
        <v>Prakash T</v>
      </c>
      <c r="C13" s="4" t="str">
        <v>Pune</v>
      </c>
      <c r="D13" s="4" t="str">
        <v>Accounts</v>
      </c>
      <c r="E13" s="4" t="str">
        <v>Accountant</v>
      </c>
      <c r="F13" s="5">
        <v>0.40069444444444446</v>
      </c>
      <c r="G13" s="5">
        <v>0.77083333333333337</v>
      </c>
      <c r="H13" s="6">
        <f t="shared" si="0"/>
        <v>0.32847222222222222</v>
      </c>
      <c r="I13" s="4" t="str">
        <f t="shared" si="1"/>
        <v>Late</v>
      </c>
      <c r="J13" s="7">
        <f t="shared" si="2"/>
        <v>4.8611111111111494E-3</v>
      </c>
      <c r="K13" s="14" t="str">
        <f t="shared" si="3"/>
        <v/>
      </c>
    </row>
    <row r="14" spans="1:11" x14ac:dyDescent="0.3">
      <c r="A14" s="15" t="str">
        <v>EMP093</v>
      </c>
      <c r="B14" s="5" t="str">
        <v>Suresh Raj</v>
      </c>
      <c r="C14" s="5" t="str">
        <v>Mumbai</v>
      </c>
      <c r="D14" s="5" t="str">
        <v>Accounts</v>
      </c>
      <c r="E14" s="5" t="str">
        <v>Accounts Manager</v>
      </c>
      <c r="F14" s="5"/>
      <c r="G14" s="5"/>
      <c r="H14" s="6">
        <f t="shared" si="0"/>
        <v>0</v>
      </c>
      <c r="I14" s="4" t="str">
        <f t="shared" si="1"/>
        <v>Absent</v>
      </c>
      <c r="J14" s="7" t="str">
        <f t="shared" si="2"/>
        <v/>
      </c>
      <c r="K14" s="14" t="str">
        <f t="shared" si="3"/>
        <v/>
      </c>
    </row>
    <row r="15" spans="1:11" x14ac:dyDescent="0.3">
      <c r="A15" s="15" t="str">
        <v>EMP099</v>
      </c>
      <c r="B15" s="5" t="str">
        <v>Yuvaraj N</v>
      </c>
      <c r="C15" s="5" t="str">
        <v>Kochi</v>
      </c>
      <c r="D15" s="5" t="str">
        <v>Accounts</v>
      </c>
      <c r="E15" s="5" t="str">
        <v>Accounts Manager</v>
      </c>
      <c r="F15" s="5">
        <v>0.3840277777777778</v>
      </c>
      <c r="G15" s="5">
        <v>0.77569444444444446</v>
      </c>
      <c r="H15" s="6">
        <f t="shared" si="0"/>
        <v>0.35</v>
      </c>
      <c r="I15" s="4" t="str">
        <f t="shared" si="1"/>
        <v>Present</v>
      </c>
      <c r="J15" s="7">
        <f t="shared" si="2"/>
        <v>0</v>
      </c>
      <c r="K15" s="14" t="str">
        <f t="shared" si="3"/>
        <v/>
      </c>
    </row>
    <row r="16" spans="1:11" x14ac:dyDescent="0.3">
      <c r="A16" s="15" t="str">
        <v>EMP105</v>
      </c>
      <c r="B16" s="5" t="str">
        <v>Nithin V</v>
      </c>
      <c r="C16" s="5" t="str">
        <v>Mumbai</v>
      </c>
      <c r="D16" s="5" t="str">
        <v>Accounts</v>
      </c>
      <c r="E16" s="5" t="str">
        <v>Senior Accountant</v>
      </c>
      <c r="F16" s="5">
        <v>0.3833333333333333</v>
      </c>
      <c r="G16" s="5">
        <v>0.77847222222222223</v>
      </c>
      <c r="H16" s="6">
        <f t="shared" si="0"/>
        <v>0.35347222222222224</v>
      </c>
      <c r="I16" s="4" t="str">
        <f t="shared" si="1"/>
        <v>Present</v>
      </c>
      <c r="J16" s="7">
        <f t="shared" si="2"/>
        <v>0</v>
      </c>
      <c r="K16" s="14" t="str">
        <f t="shared" si="3"/>
        <v/>
      </c>
    </row>
    <row r="17" spans="1:11" x14ac:dyDescent="0.3">
      <c r="A17" s="15" t="str">
        <v>EMP118</v>
      </c>
      <c r="B17" s="5" t="str">
        <v>Prakash Raj</v>
      </c>
      <c r="C17" s="5" t="str">
        <v>Delhi</v>
      </c>
      <c r="D17" s="5" t="str">
        <v>Accounts</v>
      </c>
      <c r="E17" s="5" t="str">
        <v>Senior Accountant</v>
      </c>
      <c r="F17" s="5">
        <v>0.38680555555555557</v>
      </c>
      <c r="G17" s="5">
        <v>0.7895833333333333</v>
      </c>
      <c r="H17" s="6">
        <f t="shared" si="0"/>
        <v>0.36111111111111105</v>
      </c>
      <c r="I17" s="4" t="str">
        <f t="shared" si="1"/>
        <v>Present</v>
      </c>
      <c r="J17" s="7">
        <f t="shared" si="2"/>
        <v>0</v>
      </c>
      <c r="K17" s="14" t="str">
        <f t="shared" si="3"/>
        <v/>
      </c>
    </row>
    <row r="18" spans="1:11" x14ac:dyDescent="0.3">
      <c r="A18" s="15" t="str">
        <v>EMP127</v>
      </c>
      <c r="B18" s="5" t="str">
        <v>Dinesh Krishnan</v>
      </c>
      <c r="C18" s="5" t="str">
        <v>Hyderabad</v>
      </c>
      <c r="D18" s="5" t="str">
        <v>Accounts</v>
      </c>
      <c r="E18" s="5" t="str">
        <v>Accounts Manager</v>
      </c>
      <c r="F18" s="5">
        <v>0.375</v>
      </c>
      <c r="G18" s="5">
        <v>0.77708333333333324</v>
      </c>
      <c r="H18" s="6">
        <f t="shared" si="0"/>
        <v>0.36041666666666655</v>
      </c>
      <c r="I18" s="4" t="str">
        <f t="shared" si="1"/>
        <v>Present</v>
      </c>
      <c r="J18" s="7">
        <f t="shared" si="2"/>
        <v>0</v>
      </c>
      <c r="K18" s="14" t="str">
        <f t="shared" si="3"/>
        <v/>
      </c>
    </row>
    <row r="19" spans="1:11" x14ac:dyDescent="0.3">
      <c r="A19" s="15" t="str">
        <v>EMP129</v>
      </c>
      <c r="B19" s="5" t="str">
        <v>Dinesh Selvam</v>
      </c>
      <c r="C19" s="5" t="str">
        <v>Hyderabad</v>
      </c>
      <c r="D19" s="5" t="str">
        <v>Accounts</v>
      </c>
      <c r="E19" s="5" t="str">
        <v>Finance Executive</v>
      </c>
      <c r="F19" s="5">
        <v>0.39305555555555555</v>
      </c>
      <c r="G19" s="5">
        <v>0.78333333333333333</v>
      </c>
      <c r="H19" s="6">
        <f t="shared" si="0"/>
        <v>0.34861111111111109</v>
      </c>
      <c r="I19" s="4" t="str">
        <f t="shared" si="1"/>
        <v>Present</v>
      </c>
      <c r="J19" s="7">
        <f t="shared" si="2"/>
        <v>0</v>
      </c>
      <c r="K19" s="14" t="str">
        <f t="shared" si="3"/>
        <v/>
      </c>
    </row>
    <row r="20" spans="1:11" x14ac:dyDescent="0.3">
      <c r="A20" s="15" t="str">
        <v>EMP157</v>
      </c>
      <c r="B20" s="5" t="str">
        <v>Yogesh S</v>
      </c>
      <c r="C20" s="5" t="str">
        <v>Coimbatore</v>
      </c>
      <c r="D20" s="5" t="str">
        <v>Accounts</v>
      </c>
      <c r="E20" s="5" t="str">
        <v>Accountant</v>
      </c>
      <c r="F20" s="5">
        <v>0.39513888888888887</v>
      </c>
      <c r="G20" s="5">
        <v>0.78194444444444444</v>
      </c>
      <c r="H20" s="6">
        <f t="shared" si="0"/>
        <v>0.34513888888888888</v>
      </c>
      <c r="I20" s="4" t="str">
        <f t="shared" si="1"/>
        <v>Present</v>
      </c>
      <c r="J20" s="7">
        <f t="shared" si="2"/>
        <v>0</v>
      </c>
      <c r="K20" s="14" t="str">
        <f t="shared" si="3"/>
        <v/>
      </c>
    </row>
    <row r="21" spans="1:11" x14ac:dyDescent="0.3">
      <c r="A21" s="15" t="str">
        <v>EMP158</v>
      </c>
      <c r="B21" s="5" t="str">
        <v>Karthik P</v>
      </c>
      <c r="C21" s="5" t="str">
        <v>Ahmedabad</v>
      </c>
      <c r="D21" s="5" t="str">
        <v>Accounts</v>
      </c>
      <c r="E21" s="5" t="str">
        <v>Accounts Manager</v>
      </c>
      <c r="F21" s="5">
        <v>0.39999999999999997</v>
      </c>
      <c r="G21" s="5">
        <v>0.78333333333333333</v>
      </c>
      <c r="H21" s="6">
        <f t="shared" si="0"/>
        <v>0.34166666666666667</v>
      </c>
      <c r="I21" s="4" t="str">
        <f t="shared" si="1"/>
        <v>Late</v>
      </c>
      <c r="J21" s="7">
        <f t="shared" si="2"/>
        <v>4.1666666666666519E-3</v>
      </c>
      <c r="K21" s="14" t="str">
        <f t="shared" si="3"/>
        <v/>
      </c>
    </row>
    <row r="22" spans="1:11" x14ac:dyDescent="0.3">
      <c r="A22" s="15" t="str">
        <v>EMP162</v>
      </c>
      <c r="B22" s="5" t="str">
        <v>Ramesh G</v>
      </c>
      <c r="C22" s="5" t="str">
        <v>Chennai</v>
      </c>
      <c r="D22" s="5" t="str">
        <v>Accounts</v>
      </c>
      <c r="E22" s="5" t="str">
        <v>Accounts Executive</v>
      </c>
      <c r="F22" s="5">
        <v>0.3972222222222222</v>
      </c>
      <c r="G22" s="5"/>
      <c r="H22" s="6">
        <f t="shared" si="0"/>
        <v>0</v>
      </c>
      <c r="I22" s="4" t="str">
        <f t="shared" si="1"/>
        <v>Late</v>
      </c>
      <c r="J22" s="7">
        <f t="shared" si="2"/>
        <v>1.388888888888884E-3</v>
      </c>
      <c r="K22" s="14" t="str">
        <f t="shared" si="3"/>
        <v>On Duty</v>
      </c>
    </row>
    <row r="23" spans="1:11" x14ac:dyDescent="0.3">
      <c r="A23" s="15" t="str">
        <v>EMP166</v>
      </c>
      <c r="B23" s="5" t="str">
        <v>Dinesh B</v>
      </c>
      <c r="C23" s="5" t="str">
        <v>Pune</v>
      </c>
      <c r="D23" s="5" t="str">
        <v>Accounts</v>
      </c>
      <c r="E23" s="5" t="str">
        <v>Accounts Manager</v>
      </c>
      <c r="F23" s="5">
        <v>0.39444444444444443</v>
      </c>
      <c r="G23" s="5">
        <v>0.77361111111111114</v>
      </c>
      <c r="H23" s="6">
        <f t="shared" si="0"/>
        <v>0.33750000000000002</v>
      </c>
      <c r="I23" s="4" t="str">
        <f t="shared" si="1"/>
        <v>Present</v>
      </c>
      <c r="J23" s="7">
        <f t="shared" si="2"/>
        <v>0</v>
      </c>
      <c r="K23" s="14" t="str">
        <f t="shared" si="3"/>
        <v/>
      </c>
    </row>
    <row r="24" spans="1:11" x14ac:dyDescent="0.3">
      <c r="A24" s="15" t="str">
        <v>EMP181</v>
      </c>
      <c r="B24" s="5" t="str">
        <v>Manoj Narayanan</v>
      </c>
      <c r="C24" s="5" t="str">
        <v>Ahmedabad</v>
      </c>
      <c r="D24" s="5" t="str">
        <v>Accounts</v>
      </c>
      <c r="E24" s="5" t="str">
        <v>Senior Accountant</v>
      </c>
      <c r="F24" s="5">
        <v>0.40138888888888885</v>
      </c>
      <c r="G24" s="5">
        <v>0.78749999999999998</v>
      </c>
      <c r="H24" s="6">
        <f t="shared" si="0"/>
        <v>0.34444444444444444</v>
      </c>
      <c r="I24" s="4" t="str">
        <f t="shared" si="1"/>
        <v>Late</v>
      </c>
      <c r="J24" s="7">
        <f t="shared" si="2"/>
        <v>5.5555555555555358E-3</v>
      </c>
      <c r="K24" s="14" t="str">
        <f t="shared" si="3"/>
        <v/>
      </c>
    </row>
    <row r="25" spans="1:11" x14ac:dyDescent="0.3">
      <c r="A25" s="15" t="str">
        <v>EMP205</v>
      </c>
      <c r="B25" s="5" t="str">
        <v>Manoj M</v>
      </c>
      <c r="C25" s="5" t="str">
        <v>Hyderabad</v>
      </c>
      <c r="D25" s="5" t="str">
        <v>Accounts</v>
      </c>
      <c r="E25" s="5" t="str">
        <v>Finance Executive</v>
      </c>
      <c r="F25" s="5">
        <v>0.37916666666666665</v>
      </c>
      <c r="G25" s="5">
        <v>0.7729166666666667</v>
      </c>
      <c r="H25" s="6">
        <f t="shared" si="0"/>
        <v>0.35208333333333336</v>
      </c>
      <c r="I25" s="4" t="str">
        <f t="shared" si="1"/>
        <v>Present</v>
      </c>
      <c r="J25" s="7">
        <f t="shared" si="2"/>
        <v>0</v>
      </c>
      <c r="K25" s="14" t="str">
        <f t="shared" si="3"/>
        <v/>
      </c>
    </row>
    <row r="26" spans="1:11" x14ac:dyDescent="0.3">
      <c r="A26" s="15" t="str">
        <v>EMP206</v>
      </c>
      <c r="B26" s="5" t="str">
        <v>Naveen V</v>
      </c>
      <c r="C26" s="5" t="str">
        <v>Coimbatore</v>
      </c>
      <c r="D26" s="5" t="str">
        <v>Accounts</v>
      </c>
      <c r="E26" s="5" t="str">
        <v>Accounts Executive</v>
      </c>
      <c r="F26" s="5">
        <v>0.39166666666666666</v>
      </c>
      <c r="G26" s="5">
        <v>0.7715277777777777</v>
      </c>
      <c r="H26" s="6">
        <f t="shared" si="0"/>
        <v>0.33819444444444435</v>
      </c>
      <c r="I26" s="4" t="str">
        <f t="shared" si="1"/>
        <v>Present</v>
      </c>
      <c r="J26" s="7">
        <f t="shared" si="2"/>
        <v>0</v>
      </c>
      <c r="K26" s="14" t="str">
        <f t="shared" si="3"/>
        <v/>
      </c>
    </row>
    <row r="27" spans="1:11" x14ac:dyDescent="0.3">
      <c r="A27" s="15" t="str">
        <v>EMP208</v>
      </c>
      <c r="B27" s="5" t="str">
        <v>Ganesh Krishnan</v>
      </c>
      <c r="C27" s="5" t="str">
        <v>Coimbatore</v>
      </c>
      <c r="D27" s="5" t="str">
        <v>Accounts</v>
      </c>
      <c r="E27" s="5" t="str">
        <v>Senior Accountant</v>
      </c>
      <c r="F27" s="5">
        <v>0.38680555555555557</v>
      </c>
      <c r="G27" s="5">
        <v>0.77430555555555547</v>
      </c>
      <c r="H27" s="6">
        <f t="shared" si="0"/>
        <v>0.34583333333333321</v>
      </c>
      <c r="I27" s="4" t="str">
        <f t="shared" si="1"/>
        <v>Present</v>
      </c>
      <c r="J27" s="7">
        <f t="shared" si="2"/>
        <v>0</v>
      </c>
      <c r="K27" s="14" t="str">
        <f t="shared" si="3"/>
        <v/>
      </c>
    </row>
    <row r="28" spans="1:11" x14ac:dyDescent="0.3">
      <c r="A28" s="15" t="str">
        <v>EMP218</v>
      </c>
      <c r="B28" s="5" t="str">
        <v>Rahul V</v>
      </c>
      <c r="C28" s="5" t="str">
        <v>Noida</v>
      </c>
      <c r="D28" s="5" t="str">
        <v>Accounts</v>
      </c>
      <c r="E28" s="5" t="str">
        <v>Senior Accountant</v>
      </c>
      <c r="F28" s="5">
        <v>0.40069444444444446</v>
      </c>
      <c r="G28" s="5">
        <v>0.77986111111111101</v>
      </c>
      <c r="H28" s="6">
        <f t="shared" si="0"/>
        <v>0.33749999999999986</v>
      </c>
      <c r="I28" s="4" t="str">
        <f t="shared" si="1"/>
        <v>Late</v>
      </c>
      <c r="J28" s="7">
        <f t="shared" si="2"/>
        <v>4.8611111111111494E-3</v>
      </c>
      <c r="K28" s="14" t="str">
        <f t="shared" si="3"/>
        <v/>
      </c>
    </row>
    <row r="29" spans="1:11" x14ac:dyDescent="0.3">
      <c r="A29" s="15" t="str">
        <v>EMP229</v>
      </c>
      <c r="B29" s="5" t="str">
        <v>Mohan Babu</v>
      </c>
      <c r="C29" s="5" t="str">
        <v>Noida</v>
      </c>
      <c r="D29" s="5" t="str">
        <v>Accounts</v>
      </c>
      <c r="E29" s="5" t="str">
        <v>Accountant</v>
      </c>
      <c r="F29" s="5">
        <v>0.38541666666666669</v>
      </c>
      <c r="G29" s="5">
        <v>0.77500000000000002</v>
      </c>
      <c r="H29" s="6">
        <f t="shared" si="0"/>
        <v>0.34791666666666665</v>
      </c>
      <c r="I29" s="4" t="str">
        <f t="shared" si="1"/>
        <v>Present</v>
      </c>
      <c r="J29" s="7">
        <f t="shared" si="2"/>
        <v>0</v>
      </c>
      <c r="K29" s="14" t="str">
        <f t="shared" si="3"/>
        <v/>
      </c>
    </row>
    <row r="30" spans="1:11" x14ac:dyDescent="0.3">
      <c r="A30" s="15" t="str">
        <v>EMP263</v>
      </c>
      <c r="B30" s="5" t="str">
        <v>Bharath Prasad</v>
      </c>
      <c r="C30" s="5" t="str">
        <v>Delhi</v>
      </c>
      <c r="D30" s="5" t="str">
        <v>Accounts</v>
      </c>
      <c r="E30" s="5" t="str">
        <v>Accounts Executive</v>
      </c>
      <c r="F30" s="5">
        <v>0.37916666666666665</v>
      </c>
      <c r="G30" s="5">
        <v>0.78402777777777777</v>
      </c>
      <c r="H30" s="6">
        <f t="shared" si="0"/>
        <v>0.36319444444444443</v>
      </c>
      <c r="I30" s="4" t="str">
        <f t="shared" si="1"/>
        <v>Present</v>
      </c>
      <c r="J30" s="7">
        <f t="shared" si="2"/>
        <v>0</v>
      </c>
      <c r="K30" s="14" t="str">
        <f t="shared" si="3"/>
        <v/>
      </c>
    </row>
    <row r="31" spans="1:11" x14ac:dyDescent="0.3">
      <c r="A31" s="15" t="str">
        <v>EMP272</v>
      </c>
      <c r="B31" s="5" t="str">
        <v>Bharath P</v>
      </c>
      <c r="C31" s="5" t="str">
        <v>Delhi</v>
      </c>
      <c r="D31" s="5" t="str">
        <v>Accounts</v>
      </c>
      <c r="E31" s="5" t="str">
        <v>Accountant</v>
      </c>
      <c r="F31" s="5">
        <v>0.39999999999999997</v>
      </c>
      <c r="G31" s="5"/>
      <c r="H31" s="6">
        <f t="shared" si="0"/>
        <v>0</v>
      </c>
      <c r="I31" s="4" t="str">
        <f t="shared" si="1"/>
        <v>Late</v>
      </c>
      <c r="J31" s="7">
        <f t="shared" si="2"/>
        <v>4.1666666666666519E-3</v>
      </c>
      <c r="K31" s="14" t="str">
        <f t="shared" si="3"/>
        <v>On Duty</v>
      </c>
    </row>
    <row r="32" spans="1:11" x14ac:dyDescent="0.3">
      <c r="A32" s="15" t="str">
        <v>EMP275</v>
      </c>
      <c r="B32" s="5" t="str">
        <v>Ashwin Raja</v>
      </c>
      <c r="C32" s="5" t="str">
        <v>Kochi</v>
      </c>
      <c r="D32" s="5" t="str">
        <v>Accounts</v>
      </c>
      <c r="E32" s="5" t="str">
        <v>Accounts Executive</v>
      </c>
      <c r="F32" s="5">
        <v>0.39999999999999997</v>
      </c>
      <c r="G32" s="5">
        <v>0.77361111111111114</v>
      </c>
      <c r="H32" s="6">
        <f t="shared" si="0"/>
        <v>0.33194444444444449</v>
      </c>
      <c r="I32" s="4" t="str">
        <f t="shared" si="1"/>
        <v>Late</v>
      </c>
      <c r="J32" s="7">
        <f t="shared" si="2"/>
        <v>4.1666666666666519E-3</v>
      </c>
      <c r="K32" s="14" t="str">
        <f t="shared" si="3"/>
        <v/>
      </c>
    </row>
    <row r="33" spans="1:11" x14ac:dyDescent="0.3">
      <c r="A33" s="15" t="str">
        <v>EMP291</v>
      </c>
      <c r="B33" s="5" t="str">
        <v>Bharath N</v>
      </c>
      <c r="C33" s="5" t="str">
        <v>Chennai</v>
      </c>
      <c r="D33" s="5" t="str">
        <v>Accounts</v>
      </c>
      <c r="E33" s="5" t="str">
        <v>Senior Accountant</v>
      </c>
      <c r="F33" s="5">
        <v>0.38125000000000003</v>
      </c>
      <c r="G33" s="5"/>
      <c r="H33" s="6">
        <f t="shared" si="0"/>
        <v>0</v>
      </c>
      <c r="I33" s="4" t="str">
        <f t="shared" si="1"/>
        <v>Present</v>
      </c>
      <c r="J33" s="7">
        <f t="shared" si="2"/>
        <v>0</v>
      </c>
      <c r="K33" s="14" t="str">
        <f t="shared" si="3"/>
        <v>On Duty</v>
      </c>
    </row>
    <row r="34" spans="1:11" x14ac:dyDescent="0.3">
      <c r="A34" s="15" t="str">
        <v>EMP299</v>
      </c>
      <c r="B34" s="5" t="str">
        <v>Ashwin B</v>
      </c>
      <c r="C34" s="5" t="str">
        <v>Ahmedabad</v>
      </c>
      <c r="D34" s="5" t="str">
        <v>Accounts</v>
      </c>
      <c r="E34" s="5" t="str">
        <v>Accountant</v>
      </c>
      <c r="F34" s="5">
        <v>0.38750000000000001</v>
      </c>
      <c r="G34" s="5">
        <v>0.78749999999999998</v>
      </c>
      <c r="H34" s="6">
        <f t="shared" si="0"/>
        <v>0.35833333333333328</v>
      </c>
      <c r="I34" s="4" t="str">
        <f t="shared" si="1"/>
        <v>Present</v>
      </c>
      <c r="J34" s="7">
        <f t="shared" si="2"/>
        <v>0</v>
      </c>
      <c r="K34" s="14" t="str">
        <f t="shared" si="3"/>
        <v/>
      </c>
    </row>
    <row r="35" spans="1:11" x14ac:dyDescent="0.3">
      <c r="A35" s="15" t="str">
        <v>EMP006</v>
      </c>
      <c r="B35" s="5" t="str">
        <v>Karthik T</v>
      </c>
      <c r="C35" s="5" t="str">
        <v>Bengaluru</v>
      </c>
      <c r="D35" s="5" t="str">
        <v>Admin</v>
      </c>
      <c r="E35" s="5" t="str">
        <v>Admin Manager</v>
      </c>
      <c r="F35" s="5">
        <v>0.38472222222222219</v>
      </c>
      <c r="G35" s="5">
        <v>0.7909722222222223</v>
      </c>
      <c r="H35" s="6">
        <f t="shared" si="0"/>
        <v>0.36458333333333343</v>
      </c>
      <c r="I35" s="4" t="str">
        <f t="shared" si="1"/>
        <v>Present</v>
      </c>
      <c r="J35" s="7">
        <f t="shared" si="2"/>
        <v>0</v>
      </c>
      <c r="K35" s="14" t="str">
        <f t="shared" si="3"/>
        <v/>
      </c>
    </row>
    <row r="36" spans="1:11" x14ac:dyDescent="0.3">
      <c r="A36" s="15" t="str">
        <v>EMP007</v>
      </c>
      <c r="B36" s="5" t="str">
        <v>Arun B</v>
      </c>
      <c r="C36" s="5" t="str">
        <v>Kochi</v>
      </c>
      <c r="D36" s="5" t="str">
        <v>Admin</v>
      </c>
      <c r="E36" s="5" t="str">
        <v>Office Coordinator</v>
      </c>
      <c r="F36" s="5">
        <v>0.40208333333333335</v>
      </c>
      <c r="G36" s="5">
        <v>0.77361111111111114</v>
      </c>
      <c r="H36" s="6">
        <f t="shared" si="0"/>
        <v>0.3298611111111111</v>
      </c>
      <c r="I36" s="4" t="str">
        <f t="shared" si="1"/>
        <v>Late</v>
      </c>
      <c r="J36" s="7">
        <f t="shared" si="2"/>
        <v>6.2500000000000333E-3</v>
      </c>
      <c r="K36" s="14" t="str">
        <f t="shared" si="3"/>
        <v/>
      </c>
    </row>
    <row r="37" spans="1:11" x14ac:dyDescent="0.3">
      <c r="A37" s="15" t="str">
        <v>EMP012</v>
      </c>
      <c r="B37" s="5" t="str">
        <v>Mohan M</v>
      </c>
      <c r="C37" s="5" t="str">
        <v>Chennai</v>
      </c>
      <c r="D37" s="5" t="str">
        <v>Admin</v>
      </c>
      <c r="E37" s="5" t="str">
        <v>Office Administrator</v>
      </c>
      <c r="F37" s="5">
        <v>0.39999999999999997</v>
      </c>
      <c r="G37" s="5">
        <v>0.77361111111111114</v>
      </c>
      <c r="H37" s="6">
        <f t="shared" si="0"/>
        <v>0.33194444444444449</v>
      </c>
      <c r="I37" s="4" t="str">
        <f t="shared" si="1"/>
        <v>Late</v>
      </c>
      <c r="J37" s="7">
        <f t="shared" si="2"/>
        <v>4.1666666666666519E-3</v>
      </c>
      <c r="K37" s="14" t="str">
        <f t="shared" si="3"/>
        <v/>
      </c>
    </row>
    <row r="38" spans="1:11" x14ac:dyDescent="0.3">
      <c r="A38" s="15" t="str">
        <v>EMP015</v>
      </c>
      <c r="B38" s="5" t="str">
        <v>Yogesh Babu</v>
      </c>
      <c r="C38" s="5" t="str">
        <v>Bengaluru</v>
      </c>
      <c r="D38" s="5" t="str">
        <v>Admin</v>
      </c>
      <c r="E38" s="5" t="str">
        <v>Office Administrator</v>
      </c>
      <c r="F38" s="5">
        <v>0.39861111111111108</v>
      </c>
      <c r="G38" s="5">
        <v>0.77430555555555547</v>
      </c>
      <c r="H38" s="6">
        <f t="shared" si="0"/>
        <v>0.3340277777777777</v>
      </c>
      <c r="I38" s="4" t="str">
        <f t="shared" si="1"/>
        <v>Late</v>
      </c>
      <c r="J38" s="7">
        <f t="shared" si="2"/>
        <v>2.7777777777777679E-3</v>
      </c>
      <c r="K38" s="14" t="str">
        <f t="shared" si="3"/>
        <v/>
      </c>
    </row>
    <row r="39" spans="1:11" x14ac:dyDescent="0.3">
      <c r="A39" s="15" t="str">
        <v>EMP018</v>
      </c>
      <c r="B39" s="5" t="str">
        <v>Naveen Prasad</v>
      </c>
      <c r="C39" s="5" t="str">
        <v>Pune</v>
      </c>
      <c r="D39" s="5" t="str">
        <v>Admin</v>
      </c>
      <c r="E39" s="5" t="str">
        <v>Admin Executive</v>
      </c>
      <c r="F39" s="5">
        <v>0.38750000000000001</v>
      </c>
      <c r="G39" s="5">
        <v>0.77430555555555547</v>
      </c>
      <c r="H39" s="6">
        <f t="shared" si="0"/>
        <v>0.34513888888888877</v>
      </c>
      <c r="I39" s="4" t="str">
        <f t="shared" si="1"/>
        <v>Present</v>
      </c>
      <c r="J39" s="7">
        <f t="shared" si="2"/>
        <v>0</v>
      </c>
      <c r="K39" s="14" t="str">
        <f t="shared" si="3"/>
        <v/>
      </c>
    </row>
    <row r="40" spans="1:11" x14ac:dyDescent="0.3">
      <c r="A40" s="15" t="str">
        <v>EMP032</v>
      </c>
      <c r="B40" s="5" t="str">
        <v>Nithin S</v>
      </c>
      <c r="C40" s="5" t="str">
        <v>Pune</v>
      </c>
      <c r="D40" s="5" t="str">
        <v>Admin</v>
      </c>
      <c r="E40" s="5" t="str">
        <v>Office Administrator</v>
      </c>
      <c r="F40" s="5">
        <v>0.39166666666666666</v>
      </c>
      <c r="G40" s="5"/>
      <c r="H40" s="6">
        <f t="shared" si="0"/>
        <v>0</v>
      </c>
      <c r="I40" s="4" t="str">
        <f t="shared" si="1"/>
        <v>Present</v>
      </c>
      <c r="J40" s="7">
        <f t="shared" si="2"/>
        <v>0</v>
      </c>
      <c r="K40" s="14" t="str">
        <f t="shared" si="3"/>
        <v>On Duty</v>
      </c>
    </row>
    <row r="41" spans="1:11" x14ac:dyDescent="0.3">
      <c r="A41" s="15" t="str">
        <v>EMP035</v>
      </c>
      <c r="B41" s="5" t="str">
        <v>Manoj Kumar</v>
      </c>
      <c r="C41" s="5" t="str">
        <v>Delhi</v>
      </c>
      <c r="D41" s="5" t="str">
        <v>Admin</v>
      </c>
      <c r="E41" s="5" t="str">
        <v>Admin Manager</v>
      </c>
      <c r="F41" s="5">
        <v>0.3923611111111111</v>
      </c>
      <c r="G41" s="5">
        <v>0.7909722222222223</v>
      </c>
      <c r="H41" s="6">
        <f t="shared" si="0"/>
        <v>0.35694444444444451</v>
      </c>
      <c r="I41" s="4" t="str">
        <f t="shared" si="1"/>
        <v>Present</v>
      </c>
      <c r="J41" s="7">
        <f t="shared" si="2"/>
        <v>0</v>
      </c>
      <c r="K41" s="14" t="str">
        <f t="shared" si="3"/>
        <v/>
      </c>
    </row>
    <row r="42" spans="1:11" x14ac:dyDescent="0.3">
      <c r="A42" s="15" t="str">
        <v>EMP074</v>
      </c>
      <c r="B42" s="5" t="str">
        <v>Vinoth Raja</v>
      </c>
      <c r="C42" s="5" t="str">
        <v>Pune</v>
      </c>
      <c r="D42" s="5" t="str">
        <v>Admin</v>
      </c>
      <c r="E42" s="5" t="str">
        <v>Facility Executive</v>
      </c>
      <c r="F42" s="5">
        <v>0.3979166666666667</v>
      </c>
      <c r="G42" s="5"/>
      <c r="H42" s="6">
        <f t="shared" si="0"/>
        <v>0</v>
      </c>
      <c r="I42" s="4" t="str">
        <f t="shared" si="1"/>
        <v>Late</v>
      </c>
      <c r="J42" s="7">
        <f t="shared" si="2"/>
        <v>2.0833333333333814E-3</v>
      </c>
      <c r="K42" s="14" t="str">
        <f t="shared" si="3"/>
        <v>On Duty</v>
      </c>
    </row>
    <row r="43" spans="1:11" x14ac:dyDescent="0.3">
      <c r="A43" s="15" t="str">
        <v>EMP097</v>
      </c>
      <c r="B43" s="5" t="str">
        <v>Sanjay Kannan</v>
      </c>
      <c r="C43" s="5" t="str">
        <v>Pune</v>
      </c>
      <c r="D43" s="5" t="str">
        <v>Admin</v>
      </c>
      <c r="E43" s="5" t="str">
        <v>Office Coordinator</v>
      </c>
      <c r="F43" s="5">
        <v>0.39305555555555555</v>
      </c>
      <c r="G43" s="5">
        <v>0.78541666666666676</v>
      </c>
      <c r="H43" s="6">
        <f t="shared" si="0"/>
        <v>0.35069444444444453</v>
      </c>
      <c r="I43" s="4" t="str">
        <f t="shared" si="1"/>
        <v>Present</v>
      </c>
      <c r="J43" s="7">
        <f t="shared" si="2"/>
        <v>0</v>
      </c>
      <c r="K43" s="14" t="str">
        <f t="shared" si="3"/>
        <v/>
      </c>
    </row>
    <row r="44" spans="1:11" x14ac:dyDescent="0.3">
      <c r="A44" s="15" t="str">
        <v>EMP108</v>
      </c>
      <c r="B44" s="5" t="str">
        <v>Sanjay Raj</v>
      </c>
      <c r="C44" s="5" t="str">
        <v>Coimbatore</v>
      </c>
      <c r="D44" s="5" t="str">
        <v>Admin</v>
      </c>
      <c r="E44" s="5" t="str">
        <v>Office Coordinator</v>
      </c>
      <c r="F44" s="5">
        <v>0.375</v>
      </c>
      <c r="G44" s="5">
        <v>0.77500000000000002</v>
      </c>
      <c r="H44" s="6">
        <f t="shared" si="0"/>
        <v>0.35833333333333334</v>
      </c>
      <c r="I44" s="4" t="str">
        <f t="shared" si="1"/>
        <v>Present</v>
      </c>
      <c r="J44" s="7">
        <f t="shared" si="2"/>
        <v>0</v>
      </c>
      <c r="K44" s="14" t="str">
        <f t="shared" si="3"/>
        <v/>
      </c>
    </row>
    <row r="45" spans="1:11" x14ac:dyDescent="0.3">
      <c r="A45" s="15" t="str">
        <v>EMP112</v>
      </c>
      <c r="B45" s="5" t="str">
        <v>Prakash Selvam</v>
      </c>
      <c r="C45" s="5" t="str">
        <v>Hyderabad</v>
      </c>
      <c r="D45" s="5" t="str">
        <v>Admin</v>
      </c>
      <c r="E45" s="5" t="str">
        <v>Facility Executive</v>
      </c>
      <c r="F45" s="5">
        <v>0.39652777777777781</v>
      </c>
      <c r="G45" s="5">
        <v>0.77361111111111114</v>
      </c>
      <c r="H45" s="6">
        <f t="shared" si="0"/>
        <v>0.33541666666666664</v>
      </c>
      <c r="I45" s="4" t="str">
        <f t="shared" si="1"/>
        <v>Late</v>
      </c>
      <c r="J45" s="7">
        <f t="shared" si="2"/>
        <v>6.9444444444449749E-4</v>
      </c>
      <c r="K45" s="14" t="str">
        <f t="shared" si="3"/>
        <v/>
      </c>
    </row>
    <row r="46" spans="1:11" x14ac:dyDescent="0.3">
      <c r="A46" s="15" t="str">
        <v>EMP149</v>
      </c>
      <c r="B46" s="5" t="str">
        <v>Vinoth Narayanan</v>
      </c>
      <c r="C46" s="5" t="str">
        <v>Ahmedabad</v>
      </c>
      <c r="D46" s="5" t="str">
        <v>Admin</v>
      </c>
      <c r="E46" s="5" t="str">
        <v>Admin Executive</v>
      </c>
      <c r="F46" s="5">
        <v>0.39652777777777781</v>
      </c>
      <c r="G46" s="5">
        <v>0.77500000000000002</v>
      </c>
      <c r="H46" s="6">
        <f t="shared" si="0"/>
        <v>0.33680555555555552</v>
      </c>
      <c r="I46" s="4" t="str">
        <f t="shared" si="1"/>
        <v>Late</v>
      </c>
      <c r="J46" s="7">
        <f t="shared" si="2"/>
        <v>6.9444444444449749E-4</v>
      </c>
      <c r="K46" s="14" t="str">
        <f t="shared" si="3"/>
        <v/>
      </c>
    </row>
    <row r="47" spans="1:11" x14ac:dyDescent="0.3">
      <c r="A47" s="15" t="str">
        <v>EMP173</v>
      </c>
      <c r="B47" s="5" t="str">
        <v>Ajay Murugan</v>
      </c>
      <c r="C47" s="5" t="str">
        <v>Kochi</v>
      </c>
      <c r="D47" s="5" t="str">
        <v>Admin</v>
      </c>
      <c r="E47" s="5" t="str">
        <v>Facility Executive</v>
      </c>
      <c r="F47" s="5"/>
      <c r="G47" s="5"/>
      <c r="H47" s="6">
        <f t="shared" si="0"/>
        <v>0</v>
      </c>
      <c r="I47" s="4" t="str">
        <f t="shared" si="1"/>
        <v>Absent</v>
      </c>
      <c r="J47" s="7" t="str">
        <f t="shared" si="2"/>
        <v/>
      </c>
      <c r="K47" s="14" t="str">
        <f t="shared" si="3"/>
        <v/>
      </c>
    </row>
    <row r="48" spans="1:11" x14ac:dyDescent="0.3">
      <c r="A48" s="15" t="str">
        <v>EMP178</v>
      </c>
      <c r="B48" s="5" t="str">
        <v>Karthik Murugan</v>
      </c>
      <c r="C48" s="5" t="str">
        <v>Pune</v>
      </c>
      <c r="D48" s="5" t="str">
        <v>Admin</v>
      </c>
      <c r="E48" s="5" t="str">
        <v>Facility Executive</v>
      </c>
      <c r="F48" s="5">
        <v>0.39583333333333331</v>
      </c>
      <c r="G48" s="5">
        <v>0.78263888888888899</v>
      </c>
      <c r="H48" s="6">
        <f t="shared" si="0"/>
        <v>0.34513888888888899</v>
      </c>
      <c r="I48" s="4" t="str">
        <f t="shared" si="1"/>
        <v>Present</v>
      </c>
      <c r="J48" s="7">
        <f t="shared" si="2"/>
        <v>0</v>
      </c>
      <c r="K48" s="14" t="str">
        <f t="shared" si="3"/>
        <v/>
      </c>
    </row>
    <row r="49" spans="1:11" x14ac:dyDescent="0.3">
      <c r="A49" s="15" t="str">
        <v>EMP184</v>
      </c>
      <c r="B49" s="5" t="str">
        <v>Ramesh R</v>
      </c>
      <c r="C49" s="5" t="str">
        <v>Pune</v>
      </c>
      <c r="D49" s="5" t="str">
        <v>Admin</v>
      </c>
      <c r="E49" s="5" t="str">
        <v>Admin Executive</v>
      </c>
      <c r="F49" s="5">
        <v>0.38194444444444442</v>
      </c>
      <c r="G49" s="5">
        <v>0.77500000000000002</v>
      </c>
      <c r="H49" s="6">
        <f t="shared" si="0"/>
        <v>0.35138888888888892</v>
      </c>
      <c r="I49" s="4" t="str">
        <f t="shared" si="1"/>
        <v>Present</v>
      </c>
      <c r="J49" s="7">
        <f t="shared" si="2"/>
        <v>0</v>
      </c>
      <c r="K49" s="14" t="str">
        <f t="shared" si="3"/>
        <v/>
      </c>
    </row>
    <row r="50" spans="1:11" x14ac:dyDescent="0.3">
      <c r="A50" s="15" t="str">
        <v>EMP190</v>
      </c>
      <c r="B50" s="5" t="str">
        <v>Prakash Krishnan</v>
      </c>
      <c r="C50" s="5" t="str">
        <v>Mumbai</v>
      </c>
      <c r="D50" s="5" t="str">
        <v>Admin</v>
      </c>
      <c r="E50" s="5" t="str">
        <v>Office Administrator</v>
      </c>
      <c r="F50" s="5">
        <v>0.38263888888888892</v>
      </c>
      <c r="G50" s="5">
        <v>0.78263888888888899</v>
      </c>
      <c r="H50" s="6">
        <f t="shared" si="0"/>
        <v>0.35833333333333339</v>
      </c>
      <c r="I50" s="4" t="str">
        <f t="shared" si="1"/>
        <v>Present</v>
      </c>
      <c r="J50" s="7">
        <f t="shared" si="2"/>
        <v>0</v>
      </c>
      <c r="K50" s="14" t="str">
        <f t="shared" si="3"/>
        <v/>
      </c>
    </row>
    <row r="51" spans="1:11" x14ac:dyDescent="0.3">
      <c r="A51" s="15" t="str">
        <v>EMP191</v>
      </c>
      <c r="B51" s="5" t="str">
        <v>Saravanan S</v>
      </c>
      <c r="C51" s="5" t="str">
        <v>Delhi</v>
      </c>
      <c r="D51" s="5" t="str">
        <v>Admin</v>
      </c>
      <c r="E51" s="5" t="str">
        <v>Office Administrator</v>
      </c>
      <c r="F51" s="5">
        <v>0.4055555555555555</v>
      </c>
      <c r="G51" s="5">
        <v>0.7895833333333333</v>
      </c>
      <c r="H51" s="6">
        <f t="shared" si="0"/>
        <v>0.34236111111111112</v>
      </c>
      <c r="I51" s="4" t="str">
        <f t="shared" si="1"/>
        <v>Late</v>
      </c>
      <c r="J51" s="7">
        <f t="shared" si="2"/>
        <v>9.7222222222221877E-3</v>
      </c>
      <c r="K51" s="14" t="str">
        <f t="shared" si="3"/>
        <v/>
      </c>
    </row>
    <row r="52" spans="1:11" x14ac:dyDescent="0.3">
      <c r="A52" s="15" t="str">
        <v>EMP193</v>
      </c>
      <c r="B52" s="5" t="str">
        <v>Suresh P</v>
      </c>
      <c r="C52" s="5" t="str">
        <v>Mumbai</v>
      </c>
      <c r="D52" s="5" t="str">
        <v>Admin</v>
      </c>
      <c r="E52" s="5" t="str">
        <v>Facility Executive</v>
      </c>
      <c r="F52" s="5">
        <v>0.38125000000000003</v>
      </c>
      <c r="G52" s="5">
        <v>0.78194444444444444</v>
      </c>
      <c r="H52" s="6">
        <f t="shared" si="0"/>
        <v>0.35902777777777772</v>
      </c>
      <c r="I52" s="4" t="str">
        <f t="shared" si="1"/>
        <v>Present</v>
      </c>
      <c r="J52" s="7">
        <f t="shared" si="2"/>
        <v>0</v>
      </c>
      <c r="K52" s="14" t="str">
        <f t="shared" si="3"/>
        <v/>
      </c>
    </row>
    <row r="53" spans="1:11" x14ac:dyDescent="0.3">
      <c r="A53" s="15" t="str">
        <v>EMP243</v>
      </c>
      <c r="B53" s="5" t="str">
        <v>Naveen Raja</v>
      </c>
      <c r="C53" s="5" t="str">
        <v>Ahmedabad</v>
      </c>
      <c r="D53" s="5" t="str">
        <v>Admin</v>
      </c>
      <c r="E53" s="5" t="str">
        <v>Admin Executive</v>
      </c>
      <c r="F53" s="5">
        <v>0.39166666666666666</v>
      </c>
      <c r="G53" s="5">
        <v>0.78888888888888886</v>
      </c>
      <c r="H53" s="6">
        <f t="shared" si="0"/>
        <v>0.35555555555555551</v>
      </c>
      <c r="I53" s="4" t="str">
        <f t="shared" si="1"/>
        <v>Present</v>
      </c>
      <c r="J53" s="7">
        <f t="shared" si="2"/>
        <v>0</v>
      </c>
      <c r="K53" s="14" t="str">
        <f t="shared" si="3"/>
        <v/>
      </c>
    </row>
    <row r="54" spans="1:11" x14ac:dyDescent="0.3">
      <c r="A54" s="15" t="str">
        <v>EMP245</v>
      </c>
      <c r="B54" s="5" t="str">
        <v>Ajay P</v>
      </c>
      <c r="C54" s="5" t="str">
        <v>Mumbai</v>
      </c>
      <c r="D54" s="5" t="str">
        <v>Admin</v>
      </c>
      <c r="E54" s="5" t="str">
        <v>Office Administrator</v>
      </c>
      <c r="F54" s="5">
        <v>0.3923611111111111</v>
      </c>
      <c r="G54" s="5">
        <v>0.78055555555555556</v>
      </c>
      <c r="H54" s="6">
        <f t="shared" si="0"/>
        <v>0.34652777777777777</v>
      </c>
      <c r="I54" s="4" t="str">
        <f t="shared" si="1"/>
        <v>Present</v>
      </c>
      <c r="J54" s="7">
        <f t="shared" si="2"/>
        <v>0</v>
      </c>
      <c r="K54" s="14" t="str">
        <f t="shared" si="3"/>
        <v/>
      </c>
    </row>
    <row r="55" spans="1:11" x14ac:dyDescent="0.3">
      <c r="A55" s="15" t="str">
        <v>EMP259</v>
      </c>
      <c r="B55" s="5" t="str">
        <v>Yuvaraj R</v>
      </c>
      <c r="C55" s="5" t="str">
        <v>Chennai</v>
      </c>
      <c r="D55" s="5" t="str">
        <v>Admin</v>
      </c>
      <c r="E55" s="5" t="str">
        <v>Office Coordinator</v>
      </c>
      <c r="F55" s="5">
        <v>0.38263888888888892</v>
      </c>
      <c r="G55" s="5">
        <v>0.78472222222222221</v>
      </c>
      <c r="H55" s="6">
        <f t="shared" si="0"/>
        <v>0.36041666666666661</v>
      </c>
      <c r="I55" s="4" t="str">
        <f t="shared" si="1"/>
        <v>Present</v>
      </c>
      <c r="J55" s="7">
        <f t="shared" si="2"/>
        <v>0</v>
      </c>
      <c r="K55" s="14" t="str">
        <f t="shared" si="3"/>
        <v/>
      </c>
    </row>
    <row r="56" spans="1:11" x14ac:dyDescent="0.3">
      <c r="A56" s="15" t="str">
        <v>EMP264</v>
      </c>
      <c r="B56" s="5" t="str">
        <v>Deepak T</v>
      </c>
      <c r="C56" s="5" t="str">
        <v>Hyderabad</v>
      </c>
      <c r="D56" s="5" t="str">
        <v>Admin</v>
      </c>
      <c r="E56" s="5" t="str">
        <v>Facility Executive</v>
      </c>
      <c r="F56" s="5">
        <v>0.3923611111111111</v>
      </c>
      <c r="G56" s="5"/>
      <c r="H56" s="6">
        <f t="shared" si="0"/>
        <v>0</v>
      </c>
      <c r="I56" s="4" t="str">
        <f t="shared" si="1"/>
        <v>Present</v>
      </c>
      <c r="J56" s="7">
        <f t="shared" si="2"/>
        <v>0</v>
      </c>
      <c r="K56" s="14" t="str">
        <f t="shared" si="3"/>
        <v>On Duty</v>
      </c>
    </row>
    <row r="57" spans="1:11" x14ac:dyDescent="0.3">
      <c r="A57" s="15" t="str">
        <v>EMP281</v>
      </c>
      <c r="B57" s="5" t="str">
        <v>Praveen Kumar</v>
      </c>
      <c r="C57" s="5" t="str">
        <v>Kochi</v>
      </c>
      <c r="D57" s="5" t="str">
        <v>Admin</v>
      </c>
      <c r="E57" s="5" t="str">
        <v>Facility Executive</v>
      </c>
      <c r="F57" s="5">
        <v>0.38194444444444442</v>
      </c>
      <c r="G57" s="5"/>
      <c r="H57" s="6">
        <f t="shared" si="0"/>
        <v>0</v>
      </c>
      <c r="I57" s="4" t="str">
        <f t="shared" si="1"/>
        <v>Present</v>
      </c>
      <c r="J57" s="7">
        <f t="shared" si="2"/>
        <v>0</v>
      </c>
      <c r="K57" s="14" t="str">
        <f t="shared" si="3"/>
        <v>On Duty</v>
      </c>
    </row>
    <row r="58" spans="1:11" x14ac:dyDescent="0.3">
      <c r="A58" s="15" t="str">
        <v>EMP286</v>
      </c>
      <c r="B58" s="5" t="str">
        <v>Rahul N</v>
      </c>
      <c r="C58" s="5" t="str">
        <v>Coimbatore</v>
      </c>
      <c r="D58" s="5" t="str">
        <v>Admin</v>
      </c>
      <c r="E58" s="5" t="str">
        <v>Facility Executive</v>
      </c>
      <c r="F58" s="5">
        <v>0.39861111111111108</v>
      </c>
      <c r="G58" s="5"/>
      <c r="H58" s="6">
        <f t="shared" si="0"/>
        <v>0</v>
      </c>
      <c r="I58" s="4" t="str">
        <f t="shared" si="1"/>
        <v>Late</v>
      </c>
      <c r="J58" s="7">
        <f t="shared" si="2"/>
        <v>2.7777777777777679E-3</v>
      </c>
      <c r="K58" s="14" t="str">
        <f t="shared" si="3"/>
        <v>On Duty</v>
      </c>
    </row>
    <row r="59" spans="1:11" x14ac:dyDescent="0.3">
      <c r="A59" s="15" t="str">
        <v>EMP288</v>
      </c>
      <c r="B59" s="5" t="str">
        <v>Ajay Kumar</v>
      </c>
      <c r="C59" s="5" t="str">
        <v>Coimbatore</v>
      </c>
      <c r="D59" s="5" t="str">
        <v>Admin</v>
      </c>
      <c r="E59" s="5" t="str">
        <v>Office Administrator</v>
      </c>
      <c r="F59" s="5">
        <v>0.40138888888888885</v>
      </c>
      <c r="G59" s="5">
        <v>0.77916666666666667</v>
      </c>
      <c r="H59" s="6">
        <f t="shared" si="0"/>
        <v>0.33611111111111114</v>
      </c>
      <c r="I59" s="4" t="str">
        <f t="shared" si="1"/>
        <v>Late</v>
      </c>
      <c r="J59" s="7">
        <f t="shared" si="2"/>
        <v>5.5555555555555358E-3</v>
      </c>
      <c r="K59" s="14" t="str">
        <f t="shared" si="3"/>
        <v/>
      </c>
    </row>
    <row r="60" spans="1:11" x14ac:dyDescent="0.3">
      <c r="A60" s="15" t="str">
        <v>EMP298</v>
      </c>
      <c r="B60" s="5" t="str">
        <v>Harish Narayanan</v>
      </c>
      <c r="C60" s="5" t="str">
        <v>Coimbatore</v>
      </c>
      <c r="D60" s="5" t="str">
        <v>Admin</v>
      </c>
      <c r="E60" s="5" t="str">
        <v>Admin Executive</v>
      </c>
      <c r="F60" s="5">
        <v>0.39374999999999999</v>
      </c>
      <c r="G60" s="5">
        <v>0.78611111111111109</v>
      </c>
      <c r="H60" s="6">
        <f t="shared" si="0"/>
        <v>0.35069444444444442</v>
      </c>
      <c r="I60" s="4" t="str">
        <f t="shared" si="1"/>
        <v>Present</v>
      </c>
      <c r="J60" s="7">
        <f t="shared" si="2"/>
        <v>0</v>
      </c>
      <c r="K60" s="14" t="str">
        <f t="shared" si="3"/>
        <v/>
      </c>
    </row>
    <row r="61" spans="1:11" x14ac:dyDescent="0.3">
      <c r="A61" s="15" t="str">
        <v>EMP033</v>
      </c>
      <c r="B61" s="5" t="str">
        <v>Karthik R</v>
      </c>
      <c r="C61" s="5" t="str">
        <v>Delhi</v>
      </c>
      <c r="D61" s="5" t="str">
        <v>Back End</v>
      </c>
      <c r="E61" s="5" t="str">
        <v>Data Entry Executive</v>
      </c>
      <c r="F61" s="5">
        <v>0.39652777777777781</v>
      </c>
      <c r="G61" s="5">
        <v>0.78402777777777777</v>
      </c>
      <c r="H61" s="6">
        <f t="shared" si="0"/>
        <v>0.34583333333333327</v>
      </c>
      <c r="I61" s="4" t="str">
        <f t="shared" si="1"/>
        <v>Late</v>
      </c>
      <c r="J61" s="7">
        <f t="shared" si="2"/>
        <v>6.9444444444449749E-4</v>
      </c>
      <c r="K61" s="14" t="str">
        <f t="shared" si="3"/>
        <v/>
      </c>
    </row>
    <row r="62" spans="1:11" x14ac:dyDescent="0.3">
      <c r="A62" s="15" t="str">
        <v>EMP056</v>
      </c>
      <c r="B62" s="5" t="str">
        <v>Yuvaraj P</v>
      </c>
      <c r="C62" s="5" t="str">
        <v>Noida</v>
      </c>
      <c r="D62" s="5" t="str">
        <v>Back End</v>
      </c>
      <c r="E62" s="5" t="str">
        <v>Operations Executive</v>
      </c>
      <c r="F62" s="5">
        <v>0.37916666666666665</v>
      </c>
      <c r="G62" s="5">
        <v>0.78472222222222221</v>
      </c>
      <c r="H62" s="6">
        <f t="shared" si="0"/>
        <v>0.36388888888888887</v>
      </c>
      <c r="I62" s="4" t="str">
        <f t="shared" si="1"/>
        <v>Present</v>
      </c>
      <c r="J62" s="7">
        <f t="shared" si="2"/>
        <v>0</v>
      </c>
      <c r="K62" s="14" t="str">
        <f t="shared" si="3"/>
        <v/>
      </c>
    </row>
    <row r="63" spans="1:11" x14ac:dyDescent="0.3">
      <c r="A63" s="15" t="str">
        <v>EMP062</v>
      </c>
      <c r="B63" s="5" t="str">
        <v>Manoj Raj</v>
      </c>
      <c r="C63" s="5" t="str">
        <v>Mumbai</v>
      </c>
      <c r="D63" s="5" t="str">
        <v>Back End</v>
      </c>
      <c r="E63" s="5" t="str">
        <v>Documentation Executive</v>
      </c>
      <c r="F63" s="5">
        <v>0.39583333333333331</v>
      </c>
      <c r="G63" s="5">
        <v>0.7729166666666667</v>
      </c>
      <c r="H63" s="6">
        <f t="shared" si="0"/>
        <v>0.3354166666666667</v>
      </c>
      <c r="I63" s="4" t="str">
        <f t="shared" si="1"/>
        <v>Present</v>
      </c>
      <c r="J63" s="7">
        <f t="shared" si="2"/>
        <v>0</v>
      </c>
      <c r="K63" s="14" t="str">
        <f t="shared" si="3"/>
        <v/>
      </c>
    </row>
    <row r="64" spans="1:11" x14ac:dyDescent="0.3">
      <c r="A64" s="15" t="str">
        <v>EMP092</v>
      </c>
      <c r="B64" s="5" t="str">
        <v>Karthik Babu</v>
      </c>
      <c r="C64" s="5" t="str">
        <v>Chennai</v>
      </c>
      <c r="D64" s="5" t="str">
        <v>Back End</v>
      </c>
      <c r="E64" s="5" t="str">
        <v>Data Entry Executive</v>
      </c>
      <c r="F64" s="5">
        <v>0.3833333333333333</v>
      </c>
      <c r="G64" s="5">
        <v>0.78472222222222221</v>
      </c>
      <c r="H64" s="6">
        <f t="shared" si="0"/>
        <v>0.35972222222222222</v>
      </c>
      <c r="I64" s="4" t="str">
        <f t="shared" si="1"/>
        <v>Present</v>
      </c>
      <c r="J64" s="7">
        <f t="shared" si="2"/>
        <v>0</v>
      </c>
      <c r="K64" s="14" t="str">
        <f t="shared" si="3"/>
        <v/>
      </c>
    </row>
    <row r="65" spans="1:11" x14ac:dyDescent="0.3">
      <c r="A65" s="15" t="str">
        <v>EMP114</v>
      </c>
      <c r="B65" s="5" t="str">
        <v>Naveen Selvam</v>
      </c>
      <c r="C65" s="5" t="str">
        <v>Hyderabad</v>
      </c>
      <c r="D65" s="5" t="str">
        <v>Back End</v>
      </c>
      <c r="E65" s="5" t="str">
        <v>Operations Manager</v>
      </c>
      <c r="F65" s="5">
        <v>0.39999999999999997</v>
      </c>
      <c r="G65" s="5">
        <v>0.79027777777777775</v>
      </c>
      <c r="H65" s="6">
        <f t="shared" si="0"/>
        <v>0.34861111111111109</v>
      </c>
      <c r="I65" s="4" t="str">
        <f t="shared" si="1"/>
        <v>Late</v>
      </c>
      <c r="J65" s="7">
        <f t="shared" si="2"/>
        <v>4.1666666666666519E-3</v>
      </c>
      <c r="K65" s="14" t="str">
        <f t="shared" si="3"/>
        <v/>
      </c>
    </row>
    <row r="66" spans="1:11" x14ac:dyDescent="0.3">
      <c r="A66" s="15" t="str">
        <v>EMP120</v>
      </c>
      <c r="B66" s="5" t="str">
        <v>Vignesh Prasad</v>
      </c>
      <c r="C66" s="5" t="str">
        <v>Ahmedabad</v>
      </c>
      <c r="D66" s="5" t="str">
        <v>Back End</v>
      </c>
      <c r="E66" s="5" t="str">
        <v>Documentation Executive</v>
      </c>
      <c r="F66" s="5">
        <v>0.37638888888888888</v>
      </c>
      <c r="G66" s="5">
        <v>0.77361111111111114</v>
      </c>
      <c r="H66" s="6">
        <f t="shared" si="0"/>
        <v>0.35555555555555557</v>
      </c>
      <c r="I66" s="4" t="str">
        <f t="shared" si="1"/>
        <v>Present</v>
      </c>
      <c r="J66" s="7">
        <f t="shared" si="2"/>
        <v>0</v>
      </c>
      <c r="K66" s="14" t="str">
        <f t="shared" si="3"/>
        <v/>
      </c>
    </row>
    <row r="67" spans="1:11" x14ac:dyDescent="0.3">
      <c r="A67" s="15" t="str">
        <v>EMP124</v>
      </c>
      <c r="B67" s="5" t="str">
        <v>Vinoth B</v>
      </c>
      <c r="C67" s="5" t="str">
        <v>Noida</v>
      </c>
      <c r="D67" s="5" t="str">
        <v>Back End</v>
      </c>
      <c r="E67" s="5" t="str">
        <v>Documentation Executive</v>
      </c>
      <c r="F67" s="5">
        <v>0.38194444444444442</v>
      </c>
      <c r="G67" s="5">
        <v>0.77638888888888891</v>
      </c>
      <c r="H67" s="6">
        <f t="shared" si="0"/>
        <v>0.3527777777777778</v>
      </c>
      <c r="I67" s="4" t="str">
        <f t="shared" si="1"/>
        <v>Present</v>
      </c>
      <c r="J67" s="7">
        <f t="shared" si="2"/>
        <v>0</v>
      </c>
      <c r="K67" s="14" t="str">
        <f t="shared" si="3"/>
        <v/>
      </c>
    </row>
    <row r="68" spans="1:11" x14ac:dyDescent="0.3">
      <c r="A68" s="15" t="str">
        <v>EMP137</v>
      </c>
      <c r="B68" s="5" t="str">
        <v>Vignesh Kumar</v>
      </c>
      <c r="C68" s="5" t="str">
        <v>Ahmedabad</v>
      </c>
      <c r="D68" s="5" t="str">
        <v>Back End</v>
      </c>
      <c r="E68" s="5" t="str">
        <v>Operations Manager</v>
      </c>
      <c r="F68" s="5">
        <v>0.37708333333333338</v>
      </c>
      <c r="G68" s="5">
        <v>0.77847222222222223</v>
      </c>
      <c r="H68" s="6">
        <f t="shared" ref="H68:H131" si="4">IF(OR(F68="",G68=""),0,G68-F68-TIME(1,0,0))</f>
        <v>0.35972222222222217</v>
      </c>
      <c r="I68" s="4" t="str">
        <f t="shared" ref="I68:I131" si="5">IF(F68="","Absent",IF(F68&gt;TIME(9,30,0),"Late","Present"))</f>
        <v>Present</v>
      </c>
      <c r="J68" s="7">
        <f t="shared" ref="J68:J131" si="6">IF(F68="","",IF(F68&lt;=TIME(9,30,0),0,F68-TIME(9,30,0)))</f>
        <v>0</v>
      </c>
      <c r="K68" s="14" t="str">
        <f t="shared" ref="K68:K131" si="7">IF(AND(F68&lt;&gt;"",G68=""),"On Duty","")</f>
        <v/>
      </c>
    </row>
    <row r="69" spans="1:11" x14ac:dyDescent="0.3">
      <c r="A69" s="15" t="str">
        <v>EMP144</v>
      </c>
      <c r="B69" s="5" t="str">
        <v>Ramesh N</v>
      </c>
      <c r="C69" s="5" t="str">
        <v>Mumbai</v>
      </c>
      <c r="D69" s="5" t="str">
        <v>Back End</v>
      </c>
      <c r="E69" s="5" t="str">
        <v>Documentation Executive</v>
      </c>
      <c r="F69" s="5">
        <v>0.38611111111111113</v>
      </c>
      <c r="G69" s="5">
        <v>0.78333333333333333</v>
      </c>
      <c r="H69" s="6">
        <f t="shared" si="4"/>
        <v>0.35555555555555551</v>
      </c>
      <c r="I69" s="4" t="str">
        <f t="shared" si="5"/>
        <v>Present</v>
      </c>
      <c r="J69" s="7">
        <f t="shared" si="6"/>
        <v>0</v>
      </c>
      <c r="K69" s="14" t="str">
        <f t="shared" si="7"/>
        <v/>
      </c>
    </row>
    <row r="70" spans="1:11" x14ac:dyDescent="0.3">
      <c r="A70" s="15" t="str">
        <v>EMP146</v>
      </c>
      <c r="B70" s="5" t="str">
        <v>Dinesh Kannan</v>
      </c>
      <c r="C70" s="5" t="str">
        <v>Hyderabad</v>
      </c>
      <c r="D70" s="5" t="str">
        <v>Back End</v>
      </c>
      <c r="E70" s="5" t="str">
        <v>Documentation Executive</v>
      </c>
      <c r="F70" s="5">
        <v>0.39861111111111108</v>
      </c>
      <c r="G70" s="5">
        <v>0.78055555555555556</v>
      </c>
      <c r="H70" s="6">
        <f t="shared" si="4"/>
        <v>0.34027777777777779</v>
      </c>
      <c r="I70" s="4" t="str">
        <f t="shared" si="5"/>
        <v>Late</v>
      </c>
      <c r="J70" s="7">
        <f t="shared" si="6"/>
        <v>2.7777777777777679E-3</v>
      </c>
      <c r="K70" s="14" t="str">
        <f t="shared" si="7"/>
        <v/>
      </c>
    </row>
    <row r="71" spans="1:11" x14ac:dyDescent="0.3">
      <c r="A71" s="15" t="str">
        <v>EMP186</v>
      </c>
      <c r="B71" s="5" t="str">
        <v>Arun Narayanan</v>
      </c>
      <c r="C71" s="5" t="str">
        <v>Noida</v>
      </c>
      <c r="D71" s="5" t="str">
        <v>Back End</v>
      </c>
      <c r="E71" s="5" t="str">
        <v>Operations Executive</v>
      </c>
      <c r="F71" s="5">
        <v>0.39374999999999999</v>
      </c>
      <c r="G71" s="5">
        <v>0.78819444444444453</v>
      </c>
      <c r="H71" s="6">
        <f t="shared" si="4"/>
        <v>0.35277777777777786</v>
      </c>
      <c r="I71" s="4" t="str">
        <f t="shared" si="5"/>
        <v>Present</v>
      </c>
      <c r="J71" s="7">
        <f t="shared" si="6"/>
        <v>0</v>
      </c>
      <c r="K71" s="14" t="str">
        <f t="shared" si="7"/>
        <v/>
      </c>
    </row>
    <row r="72" spans="1:11" x14ac:dyDescent="0.3">
      <c r="A72" s="15" t="str">
        <v>EMP189</v>
      </c>
      <c r="B72" s="5" t="str">
        <v>Saravanan M</v>
      </c>
      <c r="C72" s="5" t="str">
        <v>Coimbatore</v>
      </c>
      <c r="D72" s="5" t="str">
        <v>Back End</v>
      </c>
      <c r="E72" s="5" t="str">
        <v>Documentation Executive</v>
      </c>
      <c r="F72" s="5">
        <v>0.38958333333333334</v>
      </c>
      <c r="G72" s="5">
        <v>0.77569444444444446</v>
      </c>
      <c r="H72" s="6">
        <f t="shared" si="4"/>
        <v>0.34444444444444444</v>
      </c>
      <c r="I72" s="4" t="str">
        <f t="shared" si="5"/>
        <v>Present</v>
      </c>
      <c r="J72" s="7">
        <f t="shared" si="6"/>
        <v>0</v>
      </c>
      <c r="K72" s="14" t="str">
        <f t="shared" si="7"/>
        <v/>
      </c>
    </row>
    <row r="73" spans="1:11" x14ac:dyDescent="0.3">
      <c r="A73" s="15" t="str">
        <v>EMP198</v>
      </c>
      <c r="B73" s="5" t="str">
        <v>Ajay Narayanan</v>
      </c>
      <c r="C73" s="5" t="str">
        <v>Delhi</v>
      </c>
      <c r="D73" s="5" t="str">
        <v>Back End</v>
      </c>
      <c r="E73" s="5" t="str">
        <v>Documentation Executive</v>
      </c>
      <c r="F73" s="5">
        <v>0.40069444444444446</v>
      </c>
      <c r="G73" s="5">
        <v>0.77361111111111114</v>
      </c>
      <c r="H73" s="6">
        <f t="shared" si="4"/>
        <v>0.33124999999999999</v>
      </c>
      <c r="I73" s="4" t="str">
        <f t="shared" si="5"/>
        <v>Late</v>
      </c>
      <c r="J73" s="7">
        <f t="shared" si="6"/>
        <v>4.8611111111111494E-3</v>
      </c>
      <c r="K73" s="14" t="str">
        <f t="shared" si="7"/>
        <v/>
      </c>
    </row>
    <row r="74" spans="1:11" x14ac:dyDescent="0.3">
      <c r="A74" s="15" t="str">
        <v>EMP200</v>
      </c>
      <c r="B74" s="5" t="str">
        <v>Vijay B</v>
      </c>
      <c r="C74" s="5" t="str">
        <v>Ahmedabad</v>
      </c>
      <c r="D74" s="5" t="str">
        <v>Back End</v>
      </c>
      <c r="E74" s="5" t="str">
        <v>Operations Manager</v>
      </c>
      <c r="F74" s="5">
        <v>0.38263888888888892</v>
      </c>
      <c r="G74" s="5"/>
      <c r="H74" s="6">
        <f t="shared" si="4"/>
        <v>0</v>
      </c>
      <c r="I74" s="4" t="str">
        <f t="shared" si="5"/>
        <v>Present</v>
      </c>
      <c r="J74" s="7">
        <f t="shared" si="6"/>
        <v>0</v>
      </c>
      <c r="K74" s="14" t="str">
        <f t="shared" si="7"/>
        <v>On Duty</v>
      </c>
    </row>
    <row r="75" spans="1:11" x14ac:dyDescent="0.3">
      <c r="A75" s="15" t="str">
        <v>EMP202</v>
      </c>
      <c r="B75" s="5" t="str">
        <v>Mohan B</v>
      </c>
      <c r="C75" s="5" t="str">
        <v>Hyderabad</v>
      </c>
      <c r="D75" s="5" t="str">
        <v>Back End</v>
      </c>
      <c r="E75" s="5" t="str">
        <v>Data Entry Executive</v>
      </c>
      <c r="F75" s="5">
        <v>0.40347222222222223</v>
      </c>
      <c r="G75" s="5">
        <v>0.78611111111111109</v>
      </c>
      <c r="H75" s="6">
        <f t="shared" si="4"/>
        <v>0.34097222222222218</v>
      </c>
      <c r="I75" s="4" t="str">
        <f t="shared" si="5"/>
        <v>Late</v>
      </c>
      <c r="J75" s="7">
        <f t="shared" si="6"/>
        <v>7.6388888888889173E-3</v>
      </c>
      <c r="K75" s="14" t="str">
        <f t="shared" si="7"/>
        <v/>
      </c>
    </row>
    <row r="76" spans="1:11" x14ac:dyDescent="0.3">
      <c r="A76" s="15" t="str">
        <v>EMP203</v>
      </c>
      <c r="B76" s="5" t="str">
        <v>Dinesh G</v>
      </c>
      <c r="C76" s="5" t="str">
        <v>Coimbatore</v>
      </c>
      <c r="D76" s="5" t="str">
        <v>Back End</v>
      </c>
      <c r="E76" s="5" t="str">
        <v>Operations Executive</v>
      </c>
      <c r="F76" s="5">
        <v>0.37847222222222227</v>
      </c>
      <c r="G76" s="5">
        <v>0.7895833333333333</v>
      </c>
      <c r="H76" s="6">
        <f t="shared" si="4"/>
        <v>0.36944444444444435</v>
      </c>
      <c r="I76" s="4" t="str">
        <f t="shared" si="5"/>
        <v>Present</v>
      </c>
      <c r="J76" s="7">
        <f t="shared" si="6"/>
        <v>0</v>
      </c>
      <c r="K76" s="14" t="str">
        <f t="shared" si="7"/>
        <v/>
      </c>
    </row>
    <row r="77" spans="1:11" x14ac:dyDescent="0.3">
      <c r="A77" s="15" t="str">
        <v>EMP204</v>
      </c>
      <c r="B77" s="5" t="str">
        <v>Yogesh Narayanan</v>
      </c>
      <c r="C77" s="5" t="str">
        <v>Pune</v>
      </c>
      <c r="D77" s="5" t="str">
        <v>Back End</v>
      </c>
      <c r="E77" s="5" t="str">
        <v>Operations Manager</v>
      </c>
      <c r="F77" s="5">
        <v>0.38263888888888892</v>
      </c>
      <c r="G77" s="5">
        <v>0.78333333333333333</v>
      </c>
      <c r="H77" s="6">
        <f t="shared" si="4"/>
        <v>0.35902777777777772</v>
      </c>
      <c r="I77" s="4" t="str">
        <f t="shared" si="5"/>
        <v>Present</v>
      </c>
      <c r="J77" s="7">
        <f t="shared" si="6"/>
        <v>0</v>
      </c>
      <c r="K77" s="14" t="str">
        <f t="shared" si="7"/>
        <v/>
      </c>
    </row>
    <row r="78" spans="1:11" x14ac:dyDescent="0.3">
      <c r="A78" s="15" t="str">
        <v>EMP213</v>
      </c>
      <c r="B78" s="5" t="str">
        <v>Saravanan Narayanan</v>
      </c>
      <c r="C78" s="5" t="str">
        <v>Hyderabad</v>
      </c>
      <c r="D78" s="5" t="str">
        <v>Back End</v>
      </c>
      <c r="E78" s="5" t="str">
        <v>Operations Executive</v>
      </c>
      <c r="F78" s="5">
        <v>0.3833333333333333</v>
      </c>
      <c r="G78" s="5">
        <v>0.78611111111111109</v>
      </c>
      <c r="H78" s="6">
        <f t="shared" si="4"/>
        <v>0.3611111111111111</v>
      </c>
      <c r="I78" s="4" t="str">
        <f t="shared" si="5"/>
        <v>Present</v>
      </c>
      <c r="J78" s="7">
        <f t="shared" si="6"/>
        <v>0</v>
      </c>
      <c r="K78" s="14" t="str">
        <f t="shared" si="7"/>
        <v/>
      </c>
    </row>
    <row r="79" spans="1:11" x14ac:dyDescent="0.3">
      <c r="A79" s="15" t="str">
        <v>EMP221</v>
      </c>
      <c r="B79" s="5" t="str">
        <v>Lokesh K</v>
      </c>
      <c r="C79" s="5" t="str">
        <v>Chennai</v>
      </c>
      <c r="D79" s="5" t="str">
        <v>Back End</v>
      </c>
      <c r="E79" s="5" t="str">
        <v>Documentation Executive</v>
      </c>
      <c r="F79" s="5">
        <v>0.38125000000000003</v>
      </c>
      <c r="G79" s="5">
        <v>0.78749999999999998</v>
      </c>
      <c r="H79" s="6">
        <f t="shared" si="4"/>
        <v>0.36458333333333326</v>
      </c>
      <c r="I79" s="4" t="str">
        <f t="shared" si="5"/>
        <v>Present</v>
      </c>
      <c r="J79" s="7">
        <f t="shared" si="6"/>
        <v>0</v>
      </c>
      <c r="K79" s="14" t="str">
        <f t="shared" si="7"/>
        <v/>
      </c>
    </row>
    <row r="80" spans="1:11" x14ac:dyDescent="0.3">
      <c r="A80" s="15" t="str">
        <v>EMP227</v>
      </c>
      <c r="B80" s="5" t="str">
        <v>Mohan N</v>
      </c>
      <c r="C80" s="5" t="str">
        <v>Hyderabad</v>
      </c>
      <c r="D80" s="5" t="str">
        <v>Back End</v>
      </c>
      <c r="E80" s="5" t="str">
        <v>MIS Executive</v>
      </c>
      <c r="F80" s="5">
        <v>0.37708333333333338</v>
      </c>
      <c r="G80" s="5">
        <v>0.7909722222222223</v>
      </c>
      <c r="H80" s="6">
        <f t="shared" si="4"/>
        <v>0.37222222222222223</v>
      </c>
      <c r="I80" s="4" t="str">
        <f t="shared" si="5"/>
        <v>Present</v>
      </c>
      <c r="J80" s="7">
        <f t="shared" si="6"/>
        <v>0</v>
      </c>
      <c r="K80" s="14" t="str">
        <f t="shared" si="7"/>
        <v/>
      </c>
    </row>
    <row r="81" spans="1:11" x14ac:dyDescent="0.3">
      <c r="A81" s="15" t="str">
        <v>EMP234</v>
      </c>
      <c r="B81" s="5" t="str">
        <v>Lokesh Selvam</v>
      </c>
      <c r="C81" s="5" t="str">
        <v>Bengaluru</v>
      </c>
      <c r="D81" s="5" t="str">
        <v>Back End</v>
      </c>
      <c r="E81" s="5" t="str">
        <v>MIS Executive</v>
      </c>
      <c r="F81" s="5">
        <v>0.3923611111111111</v>
      </c>
      <c r="G81" s="5">
        <v>0.7909722222222223</v>
      </c>
      <c r="H81" s="6">
        <f t="shared" si="4"/>
        <v>0.35694444444444451</v>
      </c>
      <c r="I81" s="4" t="str">
        <f t="shared" si="5"/>
        <v>Present</v>
      </c>
      <c r="J81" s="7">
        <f t="shared" si="6"/>
        <v>0</v>
      </c>
      <c r="K81" s="14" t="str">
        <f t="shared" si="7"/>
        <v/>
      </c>
    </row>
    <row r="82" spans="1:11" x14ac:dyDescent="0.3">
      <c r="A82" s="15" t="str">
        <v>EMP277</v>
      </c>
      <c r="B82" s="5" t="str">
        <v>Sanjay R</v>
      </c>
      <c r="C82" s="5" t="str">
        <v>Noida</v>
      </c>
      <c r="D82" s="5" t="str">
        <v>Back End</v>
      </c>
      <c r="E82" s="5" t="str">
        <v>Operations Executive</v>
      </c>
      <c r="F82" s="5">
        <v>0.39444444444444443</v>
      </c>
      <c r="G82" s="5">
        <v>0.78402777777777777</v>
      </c>
      <c r="H82" s="6">
        <f t="shared" si="4"/>
        <v>0.34791666666666665</v>
      </c>
      <c r="I82" s="4" t="str">
        <f t="shared" si="5"/>
        <v>Present</v>
      </c>
      <c r="J82" s="7">
        <f t="shared" si="6"/>
        <v>0</v>
      </c>
      <c r="K82" s="14" t="str">
        <f t="shared" si="7"/>
        <v/>
      </c>
    </row>
    <row r="83" spans="1:11" x14ac:dyDescent="0.3">
      <c r="A83" s="15" t="str">
        <v>EMP003</v>
      </c>
      <c r="B83" s="5" t="str">
        <v>Aravind B</v>
      </c>
      <c r="C83" s="5" t="str">
        <v>Chennai</v>
      </c>
      <c r="D83" s="5" t="str">
        <v>Business Development</v>
      </c>
      <c r="E83" s="5" t="str">
        <v>Senior Business Development Executive</v>
      </c>
      <c r="F83" s="5">
        <v>0.4055555555555555</v>
      </c>
      <c r="G83" s="5"/>
      <c r="H83" s="6">
        <f t="shared" si="4"/>
        <v>0</v>
      </c>
      <c r="I83" s="4" t="str">
        <f t="shared" si="5"/>
        <v>Late</v>
      </c>
      <c r="J83" s="7">
        <f t="shared" si="6"/>
        <v>9.7222222222221877E-3</v>
      </c>
      <c r="K83" s="14" t="str">
        <f t="shared" si="7"/>
        <v>On Duty</v>
      </c>
    </row>
    <row r="84" spans="1:11" x14ac:dyDescent="0.3">
      <c r="A84" s="15" t="str">
        <v>EMP017</v>
      </c>
      <c r="B84" s="5" t="str">
        <v>Vignesh Kannan</v>
      </c>
      <c r="C84" s="5" t="str">
        <v>Kochi</v>
      </c>
      <c r="D84" s="5" t="str">
        <v>Business Development</v>
      </c>
      <c r="E84" s="5" t="str">
        <v>Corporate Sales Executive</v>
      </c>
      <c r="F84" s="5">
        <v>0.40347222222222223</v>
      </c>
      <c r="G84" s="5">
        <v>0.77222222222222225</v>
      </c>
      <c r="H84" s="6">
        <f t="shared" si="4"/>
        <v>0.32708333333333334</v>
      </c>
      <c r="I84" s="4" t="str">
        <f t="shared" si="5"/>
        <v>Late</v>
      </c>
      <c r="J84" s="7">
        <f t="shared" si="6"/>
        <v>7.6388888888889173E-3</v>
      </c>
      <c r="K84" s="14" t="str">
        <f t="shared" si="7"/>
        <v/>
      </c>
    </row>
    <row r="85" spans="1:11" x14ac:dyDescent="0.3">
      <c r="A85" s="15" t="str">
        <v>EMP021</v>
      </c>
      <c r="B85" s="5" t="str">
        <v>Arun Raj</v>
      </c>
      <c r="C85" s="5" t="str">
        <v>Bengaluru</v>
      </c>
      <c r="D85" s="5" t="str">
        <v>Business Development</v>
      </c>
      <c r="E85" s="5" t="str">
        <v>Growth Executive</v>
      </c>
      <c r="F85" s="5">
        <v>0.40138888888888885</v>
      </c>
      <c r="G85" s="5">
        <v>0.7909722222222223</v>
      </c>
      <c r="H85" s="6">
        <f t="shared" si="4"/>
        <v>0.34791666666666676</v>
      </c>
      <c r="I85" s="4" t="str">
        <f t="shared" si="5"/>
        <v>Late</v>
      </c>
      <c r="J85" s="7">
        <f t="shared" si="6"/>
        <v>5.5555555555555358E-3</v>
      </c>
      <c r="K85" s="14" t="str">
        <f t="shared" si="7"/>
        <v/>
      </c>
    </row>
    <row r="86" spans="1:11" x14ac:dyDescent="0.3">
      <c r="A86" s="15" t="str">
        <v>EMP022</v>
      </c>
      <c r="B86" s="5" t="str">
        <v>Madhan Raj</v>
      </c>
      <c r="C86" s="5" t="str">
        <v>Mumbai</v>
      </c>
      <c r="D86" s="5" t="str">
        <v>Business Development</v>
      </c>
      <c r="E86" s="5" t="str">
        <v>Growth Executive</v>
      </c>
      <c r="F86" s="5">
        <v>0.3888888888888889</v>
      </c>
      <c r="G86" s="5">
        <v>0.77361111111111114</v>
      </c>
      <c r="H86" s="6">
        <f t="shared" si="4"/>
        <v>0.34305555555555556</v>
      </c>
      <c r="I86" s="4" t="str">
        <f t="shared" si="5"/>
        <v>Present</v>
      </c>
      <c r="J86" s="7">
        <f t="shared" si="6"/>
        <v>0</v>
      </c>
      <c r="K86" s="14" t="str">
        <f t="shared" si="7"/>
        <v/>
      </c>
    </row>
    <row r="87" spans="1:11" x14ac:dyDescent="0.3">
      <c r="A87" s="15" t="str">
        <v>EMP024</v>
      </c>
      <c r="B87" s="5" t="str">
        <v>Harish Raja</v>
      </c>
      <c r="C87" s="5" t="str">
        <v>Ahmedabad</v>
      </c>
      <c r="D87" s="5" t="str">
        <v>Business Development</v>
      </c>
      <c r="E87" s="5" t="str">
        <v>Growth Executive</v>
      </c>
      <c r="F87" s="5">
        <v>0.40486111111111112</v>
      </c>
      <c r="G87" s="5">
        <v>0.78402777777777777</v>
      </c>
      <c r="H87" s="6">
        <f t="shared" si="4"/>
        <v>0.33749999999999997</v>
      </c>
      <c r="I87" s="4" t="str">
        <f t="shared" si="5"/>
        <v>Late</v>
      </c>
      <c r="J87" s="7">
        <f t="shared" si="6"/>
        <v>9.0277777777778012E-3</v>
      </c>
      <c r="K87" s="14" t="str">
        <f t="shared" si="7"/>
        <v/>
      </c>
    </row>
    <row r="88" spans="1:11" x14ac:dyDescent="0.3">
      <c r="A88" s="15" t="str">
        <v>EMP036</v>
      </c>
      <c r="B88" s="5" t="str">
        <v>Madhan Narayanan</v>
      </c>
      <c r="C88" s="5" t="str">
        <v>Bengaluru</v>
      </c>
      <c r="D88" s="5" t="str">
        <v>Business Development</v>
      </c>
      <c r="E88" s="5" t="str">
        <v>Corporate Sales Executive</v>
      </c>
      <c r="F88" s="5">
        <v>0.37847222222222227</v>
      </c>
      <c r="G88" s="5"/>
      <c r="H88" s="6">
        <f t="shared" si="4"/>
        <v>0</v>
      </c>
      <c r="I88" s="4" t="str">
        <f t="shared" si="5"/>
        <v>Present</v>
      </c>
      <c r="J88" s="7">
        <f t="shared" si="6"/>
        <v>0</v>
      </c>
      <c r="K88" s="14" t="str">
        <f t="shared" si="7"/>
        <v>On Duty</v>
      </c>
    </row>
    <row r="89" spans="1:11" x14ac:dyDescent="0.3">
      <c r="A89" s="15" t="str">
        <v>EMP073</v>
      </c>
      <c r="B89" s="5" t="str">
        <v>Sanjay Kumar</v>
      </c>
      <c r="C89" s="5" t="str">
        <v>Bengaluru</v>
      </c>
      <c r="D89" s="5" t="str">
        <v>Business Development</v>
      </c>
      <c r="E89" s="5" t="str">
        <v>Senior Business Development Executive</v>
      </c>
      <c r="F89" s="5">
        <v>0.3923611111111111</v>
      </c>
      <c r="G89" s="5">
        <v>0.78888888888888886</v>
      </c>
      <c r="H89" s="6">
        <f t="shared" si="4"/>
        <v>0.35486111111111107</v>
      </c>
      <c r="I89" s="4" t="str">
        <f t="shared" si="5"/>
        <v>Present</v>
      </c>
      <c r="J89" s="7">
        <f t="shared" si="6"/>
        <v>0</v>
      </c>
      <c r="K89" s="14" t="str">
        <f t="shared" si="7"/>
        <v/>
      </c>
    </row>
    <row r="90" spans="1:11" x14ac:dyDescent="0.3">
      <c r="A90" s="15" t="str">
        <v>EMP078</v>
      </c>
      <c r="B90" s="5" t="str">
        <v>Harish Babu</v>
      </c>
      <c r="C90" s="5" t="str">
        <v>Noida</v>
      </c>
      <c r="D90" s="5" t="str">
        <v>Business Development</v>
      </c>
      <c r="E90" s="5" t="str">
        <v>Growth Executive</v>
      </c>
      <c r="F90" s="5">
        <v>0.38125000000000003</v>
      </c>
      <c r="G90" s="5">
        <v>0.77222222222222225</v>
      </c>
      <c r="H90" s="6">
        <f t="shared" si="4"/>
        <v>0.34930555555555554</v>
      </c>
      <c r="I90" s="4" t="str">
        <f t="shared" si="5"/>
        <v>Present</v>
      </c>
      <c r="J90" s="7">
        <f t="shared" si="6"/>
        <v>0</v>
      </c>
      <c r="K90" s="14" t="str">
        <f t="shared" si="7"/>
        <v/>
      </c>
    </row>
    <row r="91" spans="1:11" x14ac:dyDescent="0.3">
      <c r="A91" s="15" t="str">
        <v>EMP080</v>
      </c>
      <c r="B91" s="5" t="str">
        <v>Aravind N</v>
      </c>
      <c r="C91" s="5" t="str">
        <v>Mumbai</v>
      </c>
      <c r="D91" s="5" t="str">
        <v>Business Development</v>
      </c>
      <c r="E91" s="5" t="str">
        <v>Business Development Manager</v>
      </c>
      <c r="F91" s="5">
        <v>0.38125000000000003</v>
      </c>
      <c r="G91" s="5">
        <v>0.78680555555555554</v>
      </c>
      <c r="H91" s="6">
        <f t="shared" si="4"/>
        <v>0.36388888888888882</v>
      </c>
      <c r="I91" s="4" t="str">
        <f t="shared" si="5"/>
        <v>Present</v>
      </c>
      <c r="J91" s="7">
        <f t="shared" si="6"/>
        <v>0</v>
      </c>
      <c r="K91" s="14" t="str">
        <f t="shared" si="7"/>
        <v/>
      </c>
    </row>
    <row r="92" spans="1:11" x14ac:dyDescent="0.3">
      <c r="A92" s="15" t="str">
        <v>EMP084</v>
      </c>
      <c r="B92" s="5" t="str">
        <v>Arun Raja</v>
      </c>
      <c r="C92" s="5" t="str">
        <v>Coimbatore</v>
      </c>
      <c r="D92" s="5" t="str">
        <v>Business Development</v>
      </c>
      <c r="E92" s="5" t="str">
        <v>Senior Business Development Executive</v>
      </c>
      <c r="F92" s="5">
        <v>0.3840277777777778</v>
      </c>
      <c r="G92" s="5">
        <v>0.77361111111111114</v>
      </c>
      <c r="H92" s="6">
        <f t="shared" si="4"/>
        <v>0.34791666666666665</v>
      </c>
      <c r="I92" s="4" t="str">
        <f t="shared" si="5"/>
        <v>Present</v>
      </c>
      <c r="J92" s="7">
        <f t="shared" si="6"/>
        <v>0</v>
      </c>
      <c r="K92" s="14" t="str">
        <f t="shared" si="7"/>
        <v/>
      </c>
    </row>
    <row r="93" spans="1:11" x14ac:dyDescent="0.3">
      <c r="A93" s="15" t="str">
        <v>EMP100</v>
      </c>
      <c r="B93" s="5" t="str">
        <v>Deepak K</v>
      </c>
      <c r="C93" s="5" t="str">
        <v>Bengaluru</v>
      </c>
      <c r="D93" s="5" t="str">
        <v>Business Development</v>
      </c>
      <c r="E93" s="5" t="str">
        <v>Growth Executive</v>
      </c>
      <c r="F93" s="5">
        <v>0.38055555555555554</v>
      </c>
      <c r="G93" s="5">
        <v>0.77986111111111101</v>
      </c>
      <c r="H93" s="6">
        <f t="shared" si="4"/>
        <v>0.35763888888888878</v>
      </c>
      <c r="I93" s="4" t="str">
        <f t="shared" si="5"/>
        <v>Present</v>
      </c>
      <c r="J93" s="7">
        <f t="shared" si="6"/>
        <v>0</v>
      </c>
      <c r="K93" s="14" t="str">
        <f t="shared" si="7"/>
        <v/>
      </c>
    </row>
    <row r="94" spans="1:11" x14ac:dyDescent="0.3">
      <c r="A94" s="15" t="str">
        <v>EMP101</v>
      </c>
      <c r="B94" s="5" t="str">
        <v>Rahul Babu</v>
      </c>
      <c r="C94" s="5" t="str">
        <v>Noida</v>
      </c>
      <c r="D94" s="5" t="str">
        <v>Business Development</v>
      </c>
      <c r="E94" s="5" t="str">
        <v>Growth Executive</v>
      </c>
      <c r="F94" s="5">
        <v>0.39861111111111108</v>
      </c>
      <c r="G94" s="5">
        <v>0.78125</v>
      </c>
      <c r="H94" s="6">
        <f t="shared" si="4"/>
        <v>0.34097222222222223</v>
      </c>
      <c r="I94" s="4" t="str">
        <f t="shared" si="5"/>
        <v>Late</v>
      </c>
      <c r="J94" s="7">
        <f t="shared" si="6"/>
        <v>2.7777777777777679E-3</v>
      </c>
      <c r="K94" s="14" t="str">
        <f t="shared" si="7"/>
        <v/>
      </c>
    </row>
    <row r="95" spans="1:11" x14ac:dyDescent="0.3">
      <c r="A95" s="15" t="str">
        <v>EMP117</v>
      </c>
      <c r="B95" s="5" t="str">
        <v>Kishore S</v>
      </c>
      <c r="C95" s="5" t="str">
        <v>Ahmedabad</v>
      </c>
      <c r="D95" s="5" t="str">
        <v>Business Development</v>
      </c>
      <c r="E95" s="5" t="str">
        <v>Senior Business Development Executive</v>
      </c>
      <c r="F95" s="5">
        <v>0.4055555555555555</v>
      </c>
      <c r="G95" s="5">
        <v>0.78194444444444444</v>
      </c>
      <c r="H95" s="6">
        <f t="shared" si="4"/>
        <v>0.33472222222222225</v>
      </c>
      <c r="I95" s="4" t="str">
        <f t="shared" si="5"/>
        <v>Late</v>
      </c>
      <c r="J95" s="7">
        <f t="shared" si="6"/>
        <v>9.7222222222221877E-3</v>
      </c>
      <c r="K95" s="14" t="str">
        <f t="shared" si="7"/>
        <v/>
      </c>
    </row>
    <row r="96" spans="1:11" x14ac:dyDescent="0.3">
      <c r="A96" s="15" t="str">
        <v>EMP132</v>
      </c>
      <c r="B96" s="5" t="str">
        <v>Ganesh Raj</v>
      </c>
      <c r="C96" s="5" t="str">
        <v>Ahmedabad</v>
      </c>
      <c r="D96" s="5" t="str">
        <v>Business Development</v>
      </c>
      <c r="E96" s="5" t="str">
        <v>Business Development Manager</v>
      </c>
      <c r="F96" s="5">
        <v>0.39999999999999997</v>
      </c>
      <c r="G96" s="5">
        <v>0.78402777777777777</v>
      </c>
      <c r="H96" s="6">
        <f t="shared" si="4"/>
        <v>0.34236111111111112</v>
      </c>
      <c r="I96" s="4" t="str">
        <f t="shared" si="5"/>
        <v>Late</v>
      </c>
      <c r="J96" s="7">
        <f t="shared" si="6"/>
        <v>4.1666666666666519E-3</v>
      </c>
      <c r="K96" s="14" t="str">
        <f t="shared" si="7"/>
        <v/>
      </c>
    </row>
    <row r="97" spans="1:11" x14ac:dyDescent="0.3">
      <c r="A97" s="15" t="str">
        <v>EMP136</v>
      </c>
      <c r="B97" s="5" t="str">
        <v>Ashwin Raj</v>
      </c>
      <c r="C97" s="5" t="str">
        <v>Hyderabad</v>
      </c>
      <c r="D97" s="5" t="str">
        <v>Business Development</v>
      </c>
      <c r="E97" s="5" t="str">
        <v>Business Development Manager</v>
      </c>
      <c r="F97" s="5">
        <v>0.40625</v>
      </c>
      <c r="G97" s="5">
        <v>0.77083333333333337</v>
      </c>
      <c r="H97" s="6">
        <f t="shared" si="4"/>
        <v>0.32291666666666669</v>
      </c>
      <c r="I97" s="4" t="str">
        <f t="shared" si="5"/>
        <v>Late</v>
      </c>
      <c r="J97" s="7">
        <f t="shared" si="6"/>
        <v>1.0416666666666685E-2</v>
      </c>
      <c r="K97" s="14" t="str">
        <f t="shared" si="7"/>
        <v/>
      </c>
    </row>
    <row r="98" spans="1:11" x14ac:dyDescent="0.3">
      <c r="A98" s="15" t="str">
        <v>EMP140</v>
      </c>
      <c r="B98" s="5" t="str">
        <v>Sathish S</v>
      </c>
      <c r="C98" s="5" t="str">
        <v>Noida</v>
      </c>
      <c r="D98" s="5" t="str">
        <v>Business Development</v>
      </c>
      <c r="E98" s="5" t="str">
        <v>Corporate Sales Executive</v>
      </c>
      <c r="F98" s="5">
        <v>0.38263888888888892</v>
      </c>
      <c r="G98" s="5">
        <v>0.78541666666666676</v>
      </c>
      <c r="H98" s="6">
        <f t="shared" si="4"/>
        <v>0.36111111111111116</v>
      </c>
      <c r="I98" s="4" t="str">
        <f t="shared" si="5"/>
        <v>Present</v>
      </c>
      <c r="J98" s="7">
        <f t="shared" si="6"/>
        <v>0</v>
      </c>
      <c r="K98" s="14" t="str">
        <f t="shared" si="7"/>
        <v/>
      </c>
    </row>
    <row r="99" spans="1:11" x14ac:dyDescent="0.3">
      <c r="A99" s="15" t="str">
        <v>EMP143</v>
      </c>
      <c r="B99" s="5" t="str">
        <v>Mohan G</v>
      </c>
      <c r="C99" s="5" t="str">
        <v>Pune</v>
      </c>
      <c r="D99" s="5" t="str">
        <v>Business Development</v>
      </c>
      <c r="E99" s="5" t="str">
        <v>Corporate Sales Executive</v>
      </c>
      <c r="F99" s="5">
        <v>0.39166666666666666</v>
      </c>
      <c r="G99" s="5">
        <v>0.78402777777777777</v>
      </c>
      <c r="H99" s="6">
        <f t="shared" si="4"/>
        <v>0.35069444444444442</v>
      </c>
      <c r="I99" s="4" t="str">
        <f t="shared" si="5"/>
        <v>Present</v>
      </c>
      <c r="J99" s="7">
        <f t="shared" si="6"/>
        <v>0</v>
      </c>
      <c r="K99" s="14" t="str">
        <f t="shared" si="7"/>
        <v/>
      </c>
    </row>
    <row r="100" spans="1:11" x14ac:dyDescent="0.3">
      <c r="A100" s="15" t="str">
        <v>EMP167</v>
      </c>
      <c r="B100" s="5" t="str">
        <v>Kishore Krishnan</v>
      </c>
      <c r="C100" s="5" t="str">
        <v>Coimbatore</v>
      </c>
      <c r="D100" s="5" t="str">
        <v>Business Development</v>
      </c>
      <c r="E100" s="5" t="str">
        <v>Senior Business Development Executive</v>
      </c>
      <c r="F100" s="5">
        <v>0.37777777777777777</v>
      </c>
      <c r="G100" s="5">
        <v>0.78472222222222221</v>
      </c>
      <c r="H100" s="6">
        <f t="shared" si="4"/>
        <v>0.36527777777777776</v>
      </c>
      <c r="I100" s="4" t="str">
        <f t="shared" si="5"/>
        <v>Present</v>
      </c>
      <c r="J100" s="7">
        <f t="shared" si="6"/>
        <v>0</v>
      </c>
      <c r="K100" s="14" t="str">
        <f t="shared" si="7"/>
        <v/>
      </c>
    </row>
    <row r="101" spans="1:11" x14ac:dyDescent="0.3">
      <c r="A101" s="15" t="str">
        <v>EMP175</v>
      </c>
      <c r="B101" s="5" t="str">
        <v>Ashwin Narayanan</v>
      </c>
      <c r="C101" s="5" t="str">
        <v>Hyderabad</v>
      </c>
      <c r="D101" s="5" t="str">
        <v>Business Development</v>
      </c>
      <c r="E101" s="5" t="str">
        <v>Business Development Executive</v>
      </c>
      <c r="F101" s="5">
        <v>0.38819444444444445</v>
      </c>
      <c r="G101" s="5">
        <v>0.77430555555555547</v>
      </c>
      <c r="H101" s="6">
        <f t="shared" si="4"/>
        <v>0.34444444444444433</v>
      </c>
      <c r="I101" s="4" t="str">
        <f t="shared" si="5"/>
        <v>Present</v>
      </c>
      <c r="J101" s="7">
        <f t="shared" si="6"/>
        <v>0</v>
      </c>
      <c r="K101" s="14" t="str">
        <f t="shared" si="7"/>
        <v/>
      </c>
    </row>
    <row r="102" spans="1:11" x14ac:dyDescent="0.3">
      <c r="A102" s="15" t="str">
        <v>EMP187</v>
      </c>
      <c r="B102" s="5" t="str">
        <v>Lokesh Raj</v>
      </c>
      <c r="C102" s="5" t="str">
        <v>Coimbatore</v>
      </c>
      <c r="D102" s="5" t="str">
        <v>Business Development</v>
      </c>
      <c r="E102" s="5" t="str">
        <v>Business Development Manager</v>
      </c>
      <c r="F102" s="5">
        <v>0.3833333333333333</v>
      </c>
      <c r="G102" s="5">
        <v>0.77777777777777779</v>
      </c>
      <c r="H102" s="6">
        <f t="shared" si="4"/>
        <v>0.3527777777777778</v>
      </c>
      <c r="I102" s="4" t="str">
        <f t="shared" si="5"/>
        <v>Present</v>
      </c>
      <c r="J102" s="7">
        <f t="shared" si="6"/>
        <v>0</v>
      </c>
      <c r="K102" s="14" t="str">
        <f t="shared" si="7"/>
        <v/>
      </c>
    </row>
    <row r="103" spans="1:11" x14ac:dyDescent="0.3">
      <c r="A103" s="15" t="str">
        <v>EMP192</v>
      </c>
      <c r="B103" s="5" t="str">
        <v>Ajay B</v>
      </c>
      <c r="C103" s="5" t="str">
        <v>Noida</v>
      </c>
      <c r="D103" s="5" t="str">
        <v>Business Development</v>
      </c>
      <c r="E103" s="5" t="str">
        <v>Business Development Manager</v>
      </c>
      <c r="F103" s="5">
        <v>0.39652777777777781</v>
      </c>
      <c r="G103" s="5">
        <v>0.77083333333333337</v>
      </c>
      <c r="H103" s="6">
        <f t="shared" si="4"/>
        <v>0.33263888888888887</v>
      </c>
      <c r="I103" s="4" t="str">
        <f t="shared" si="5"/>
        <v>Late</v>
      </c>
      <c r="J103" s="7">
        <f t="shared" si="6"/>
        <v>6.9444444444449749E-4</v>
      </c>
      <c r="K103" s="14" t="str">
        <f t="shared" si="7"/>
        <v/>
      </c>
    </row>
    <row r="104" spans="1:11" x14ac:dyDescent="0.3">
      <c r="A104" s="15" t="str">
        <v>EMP244</v>
      </c>
      <c r="B104" s="5" t="str">
        <v>Praveen T</v>
      </c>
      <c r="C104" s="5" t="str">
        <v>Kochi</v>
      </c>
      <c r="D104" s="5" t="str">
        <v>Business Development</v>
      </c>
      <c r="E104" s="5" t="str">
        <v>Corporate Sales Executive</v>
      </c>
      <c r="F104" s="5">
        <v>0.40069444444444446</v>
      </c>
      <c r="G104" s="5">
        <v>0.79027777777777775</v>
      </c>
      <c r="H104" s="6">
        <f t="shared" si="4"/>
        <v>0.3479166666666666</v>
      </c>
      <c r="I104" s="4" t="str">
        <f t="shared" si="5"/>
        <v>Late</v>
      </c>
      <c r="J104" s="7">
        <f t="shared" si="6"/>
        <v>4.8611111111111494E-3</v>
      </c>
      <c r="K104" s="14" t="str">
        <f t="shared" si="7"/>
        <v/>
      </c>
    </row>
    <row r="105" spans="1:11" x14ac:dyDescent="0.3">
      <c r="A105" s="15" t="str">
        <v>EMP261</v>
      </c>
      <c r="B105" s="5" t="str">
        <v>Mohan Raja</v>
      </c>
      <c r="C105" s="5" t="str">
        <v>Kochi</v>
      </c>
      <c r="D105" s="5" t="str">
        <v>Business Development</v>
      </c>
      <c r="E105" s="5" t="str">
        <v>Senior Business Development Executive</v>
      </c>
      <c r="F105" s="5">
        <v>0.39583333333333331</v>
      </c>
      <c r="G105" s="5">
        <v>0.78749999999999998</v>
      </c>
      <c r="H105" s="6">
        <f t="shared" si="4"/>
        <v>0.35</v>
      </c>
      <c r="I105" s="4" t="str">
        <f t="shared" si="5"/>
        <v>Present</v>
      </c>
      <c r="J105" s="7">
        <f t="shared" si="6"/>
        <v>0</v>
      </c>
      <c r="K105" s="14" t="str">
        <f t="shared" si="7"/>
        <v/>
      </c>
    </row>
    <row r="106" spans="1:11" x14ac:dyDescent="0.3">
      <c r="A106" s="15" t="str">
        <v>EMP271</v>
      </c>
      <c r="B106" s="5" t="str">
        <v>Ganesh Raja</v>
      </c>
      <c r="C106" s="5" t="str">
        <v>Bengaluru</v>
      </c>
      <c r="D106" s="5" t="str">
        <v>Business Development</v>
      </c>
      <c r="E106" s="5" t="str">
        <v>Corporate Sales Executive</v>
      </c>
      <c r="F106" s="5">
        <v>0.38194444444444442</v>
      </c>
      <c r="G106" s="5">
        <v>0.77361111111111114</v>
      </c>
      <c r="H106" s="6">
        <f t="shared" si="4"/>
        <v>0.35000000000000003</v>
      </c>
      <c r="I106" s="4" t="str">
        <f t="shared" si="5"/>
        <v>Present</v>
      </c>
      <c r="J106" s="7">
        <f t="shared" si="6"/>
        <v>0</v>
      </c>
      <c r="K106" s="14" t="str">
        <f t="shared" si="7"/>
        <v/>
      </c>
    </row>
    <row r="107" spans="1:11" x14ac:dyDescent="0.3">
      <c r="A107" s="15" t="str">
        <v>EMP274</v>
      </c>
      <c r="B107" s="5" t="str">
        <v>Saravanan Babu</v>
      </c>
      <c r="C107" s="5" t="str">
        <v>Chennai</v>
      </c>
      <c r="D107" s="5" t="str">
        <v>Business Development</v>
      </c>
      <c r="E107" s="5" t="str">
        <v>Business Development Executive</v>
      </c>
      <c r="F107" s="5">
        <v>0.39444444444444443</v>
      </c>
      <c r="G107" s="5">
        <v>0.78888888888888886</v>
      </c>
      <c r="H107" s="6">
        <f t="shared" si="4"/>
        <v>0.35277777777777775</v>
      </c>
      <c r="I107" s="4" t="str">
        <f t="shared" si="5"/>
        <v>Present</v>
      </c>
      <c r="J107" s="7">
        <f t="shared" si="6"/>
        <v>0</v>
      </c>
      <c r="K107" s="14" t="str">
        <f t="shared" si="7"/>
        <v/>
      </c>
    </row>
    <row r="108" spans="1:11" x14ac:dyDescent="0.3">
      <c r="A108" s="15" t="str">
        <v>EMP031</v>
      </c>
      <c r="B108" s="5" t="str">
        <v>Aravind M</v>
      </c>
      <c r="C108" s="5" t="str">
        <v>Coimbatore</v>
      </c>
      <c r="D108" s="5" t="str">
        <v>Customer Relationship</v>
      </c>
      <c r="E108" s="5" t="str">
        <v>Customer Service Executive</v>
      </c>
      <c r="F108" s="5">
        <v>0.38958333333333334</v>
      </c>
      <c r="G108" s="5"/>
      <c r="H108" s="6">
        <f t="shared" si="4"/>
        <v>0</v>
      </c>
      <c r="I108" s="4" t="str">
        <f t="shared" si="5"/>
        <v>Present</v>
      </c>
      <c r="J108" s="7">
        <f t="shared" si="6"/>
        <v>0</v>
      </c>
      <c r="K108" s="14" t="str">
        <f t="shared" si="7"/>
        <v>On Duty</v>
      </c>
    </row>
    <row r="109" spans="1:11" x14ac:dyDescent="0.3">
      <c r="A109" s="15" t="str">
        <v>EMP039</v>
      </c>
      <c r="B109" s="5" t="str">
        <v>Bharath S</v>
      </c>
      <c r="C109" s="5" t="str">
        <v>Kochi</v>
      </c>
      <c r="D109" s="5" t="str">
        <v>Customer Relationship</v>
      </c>
      <c r="E109" s="5" t="str">
        <v>CRM Executive</v>
      </c>
      <c r="F109" s="5">
        <v>0.38194444444444442</v>
      </c>
      <c r="G109" s="5">
        <v>0.78055555555555556</v>
      </c>
      <c r="H109" s="6">
        <f t="shared" si="4"/>
        <v>0.35694444444444445</v>
      </c>
      <c r="I109" s="4" t="str">
        <f t="shared" si="5"/>
        <v>Present</v>
      </c>
      <c r="J109" s="7">
        <f t="shared" si="6"/>
        <v>0</v>
      </c>
      <c r="K109" s="14" t="str">
        <f t="shared" si="7"/>
        <v/>
      </c>
    </row>
    <row r="110" spans="1:11" x14ac:dyDescent="0.3">
      <c r="A110" s="15" t="str">
        <v>EMP048</v>
      </c>
      <c r="B110" s="5" t="str">
        <v>Aravind Krishnan</v>
      </c>
      <c r="C110" s="5" t="str">
        <v>Hyderabad</v>
      </c>
      <c r="D110" s="5" t="str">
        <v>Customer Relationship</v>
      </c>
      <c r="E110" s="5" t="str">
        <v>Customer Relationship Officer</v>
      </c>
      <c r="F110" s="5">
        <v>0.40277777777777773</v>
      </c>
      <c r="G110" s="5">
        <v>0.7729166666666667</v>
      </c>
      <c r="H110" s="6">
        <f t="shared" si="4"/>
        <v>0.32847222222222228</v>
      </c>
      <c r="I110" s="4" t="str">
        <f t="shared" si="5"/>
        <v>Late</v>
      </c>
      <c r="J110" s="7">
        <f t="shared" si="6"/>
        <v>6.9444444444444198E-3</v>
      </c>
      <c r="K110" s="14" t="str">
        <f t="shared" si="7"/>
        <v/>
      </c>
    </row>
    <row r="111" spans="1:11" x14ac:dyDescent="0.3">
      <c r="A111" s="15" t="str">
        <v>EMP082</v>
      </c>
      <c r="B111" s="5" t="str">
        <v>Bharath K</v>
      </c>
      <c r="C111" s="5" t="str">
        <v>Chennai</v>
      </c>
      <c r="D111" s="5" t="str">
        <v>Customer Relationship</v>
      </c>
      <c r="E111" s="5" t="str">
        <v>Customer Success Executive</v>
      </c>
      <c r="F111" s="5">
        <v>0.38472222222222219</v>
      </c>
      <c r="G111" s="5">
        <v>0.78472222222222221</v>
      </c>
      <c r="H111" s="6">
        <f t="shared" si="4"/>
        <v>0.35833333333333334</v>
      </c>
      <c r="I111" s="4" t="str">
        <f t="shared" si="5"/>
        <v>Present</v>
      </c>
      <c r="J111" s="7">
        <f t="shared" si="6"/>
        <v>0</v>
      </c>
      <c r="K111" s="14" t="str">
        <f t="shared" si="7"/>
        <v/>
      </c>
    </row>
    <row r="112" spans="1:11" x14ac:dyDescent="0.3">
      <c r="A112" s="15" t="str">
        <v>EMP095</v>
      </c>
      <c r="B112" s="5" t="str">
        <v>Lokesh Kumar</v>
      </c>
      <c r="C112" s="5" t="str">
        <v>Coimbatore</v>
      </c>
      <c r="D112" s="5" t="str">
        <v>Customer Relationship</v>
      </c>
      <c r="E112" s="5" t="str">
        <v>Customer Success Executive</v>
      </c>
      <c r="F112" s="5">
        <v>0.38750000000000001</v>
      </c>
      <c r="G112" s="5">
        <v>0.77500000000000002</v>
      </c>
      <c r="H112" s="6">
        <f t="shared" si="4"/>
        <v>0.34583333333333333</v>
      </c>
      <c r="I112" s="4" t="str">
        <f t="shared" si="5"/>
        <v>Present</v>
      </c>
      <c r="J112" s="7">
        <f t="shared" si="6"/>
        <v>0</v>
      </c>
      <c r="K112" s="14" t="str">
        <f t="shared" si="7"/>
        <v/>
      </c>
    </row>
    <row r="113" spans="1:11" x14ac:dyDescent="0.3">
      <c r="A113" s="15" t="str">
        <v>EMP098</v>
      </c>
      <c r="B113" s="5" t="str">
        <v>Yogesh Kannan</v>
      </c>
      <c r="C113" s="5" t="str">
        <v>Noida</v>
      </c>
      <c r="D113" s="5" t="str">
        <v>Customer Relationship</v>
      </c>
      <c r="E113" s="5" t="str">
        <v>Customer Success Executive</v>
      </c>
      <c r="F113" s="5">
        <v>0.39930555555555558</v>
      </c>
      <c r="G113" s="5">
        <v>0.78749999999999998</v>
      </c>
      <c r="H113" s="6">
        <f t="shared" si="4"/>
        <v>0.34652777777777771</v>
      </c>
      <c r="I113" s="4" t="str">
        <f t="shared" si="5"/>
        <v>Late</v>
      </c>
      <c r="J113" s="7">
        <f t="shared" si="6"/>
        <v>3.4722222222222654E-3</v>
      </c>
      <c r="K113" s="14" t="str">
        <f t="shared" si="7"/>
        <v/>
      </c>
    </row>
    <row r="114" spans="1:11" x14ac:dyDescent="0.3">
      <c r="A114" s="15" t="str">
        <v>EMP102</v>
      </c>
      <c r="B114" s="5" t="str">
        <v>Deepak N</v>
      </c>
      <c r="C114" s="5" t="str">
        <v>Noida</v>
      </c>
      <c r="D114" s="5" t="str">
        <v>Customer Relationship</v>
      </c>
      <c r="E114" s="5" t="str">
        <v>Customer Success Executive</v>
      </c>
      <c r="F114" s="5">
        <v>0.38541666666666669</v>
      </c>
      <c r="G114" s="5">
        <v>0.77708333333333324</v>
      </c>
      <c r="H114" s="6">
        <f t="shared" si="4"/>
        <v>0.34999999999999987</v>
      </c>
      <c r="I114" s="4" t="str">
        <f t="shared" si="5"/>
        <v>Present</v>
      </c>
      <c r="J114" s="7">
        <f t="shared" si="6"/>
        <v>0</v>
      </c>
      <c r="K114" s="14" t="str">
        <f t="shared" si="7"/>
        <v/>
      </c>
    </row>
    <row r="115" spans="1:11" x14ac:dyDescent="0.3">
      <c r="A115" s="15" t="str">
        <v>EMP119</v>
      </c>
      <c r="B115" s="5" t="str">
        <v>Saravanan Prasad</v>
      </c>
      <c r="C115" s="5" t="str">
        <v>Kochi</v>
      </c>
      <c r="D115" s="5" t="str">
        <v>Customer Relationship</v>
      </c>
      <c r="E115" s="5" t="str">
        <v>Customer Relationship Officer</v>
      </c>
      <c r="F115" s="5">
        <v>0.38472222222222219</v>
      </c>
      <c r="G115" s="5">
        <v>0.77777777777777779</v>
      </c>
      <c r="H115" s="6">
        <f t="shared" si="4"/>
        <v>0.35138888888888892</v>
      </c>
      <c r="I115" s="4" t="str">
        <f t="shared" si="5"/>
        <v>Present</v>
      </c>
      <c r="J115" s="7">
        <f t="shared" si="6"/>
        <v>0</v>
      </c>
      <c r="K115" s="14" t="str">
        <f t="shared" si="7"/>
        <v/>
      </c>
    </row>
    <row r="116" spans="1:11" x14ac:dyDescent="0.3">
      <c r="A116" s="15" t="str">
        <v>EMP128</v>
      </c>
      <c r="B116" s="5" t="str">
        <v>Arun Krishnan</v>
      </c>
      <c r="C116" s="5" t="str">
        <v>Mumbai</v>
      </c>
      <c r="D116" s="5" t="str">
        <v>Customer Relationship</v>
      </c>
      <c r="E116" s="5" t="str">
        <v>Customer Success Executive</v>
      </c>
      <c r="F116" s="5">
        <v>0.39444444444444443</v>
      </c>
      <c r="G116" s="5">
        <v>0.77986111111111101</v>
      </c>
      <c r="H116" s="6">
        <f t="shared" si="4"/>
        <v>0.34374999999999989</v>
      </c>
      <c r="I116" s="4" t="str">
        <f t="shared" si="5"/>
        <v>Present</v>
      </c>
      <c r="J116" s="7">
        <f t="shared" si="6"/>
        <v>0</v>
      </c>
      <c r="K116" s="14" t="str">
        <f t="shared" si="7"/>
        <v/>
      </c>
    </row>
    <row r="117" spans="1:11" x14ac:dyDescent="0.3">
      <c r="A117" s="15" t="str">
        <v>EMP142</v>
      </c>
      <c r="B117" s="5" t="str">
        <v>Karthik Raj</v>
      </c>
      <c r="C117" s="5" t="str">
        <v>Coimbatore</v>
      </c>
      <c r="D117" s="5" t="str">
        <v>Customer Relationship</v>
      </c>
      <c r="E117" s="5" t="str">
        <v>Customer Service Executive</v>
      </c>
      <c r="F117" s="5">
        <v>0.37708333333333338</v>
      </c>
      <c r="G117" s="5">
        <v>0.78611111111111109</v>
      </c>
      <c r="H117" s="6">
        <f t="shared" si="4"/>
        <v>0.36736111111111103</v>
      </c>
      <c r="I117" s="4" t="str">
        <f t="shared" si="5"/>
        <v>Present</v>
      </c>
      <c r="J117" s="7">
        <f t="shared" si="6"/>
        <v>0</v>
      </c>
      <c r="K117" s="14" t="str">
        <f t="shared" si="7"/>
        <v/>
      </c>
    </row>
    <row r="118" spans="1:11" x14ac:dyDescent="0.3">
      <c r="A118" s="15" t="str">
        <v>EMP155</v>
      </c>
      <c r="B118" s="5" t="str">
        <v>Vinoth Selvam</v>
      </c>
      <c r="C118" s="5" t="str">
        <v>Coimbatore</v>
      </c>
      <c r="D118" s="5" t="str">
        <v>Customer Relationship</v>
      </c>
      <c r="E118" s="5" t="str">
        <v>Customer Relationship Officer</v>
      </c>
      <c r="F118" s="5">
        <v>0.39583333333333331</v>
      </c>
      <c r="G118" s="5">
        <v>0.77708333333333324</v>
      </c>
      <c r="H118" s="6">
        <f t="shared" si="4"/>
        <v>0.33958333333333324</v>
      </c>
      <c r="I118" s="4" t="str">
        <f t="shared" si="5"/>
        <v>Present</v>
      </c>
      <c r="J118" s="7">
        <f t="shared" si="6"/>
        <v>0</v>
      </c>
      <c r="K118" s="14" t="str">
        <f t="shared" si="7"/>
        <v/>
      </c>
    </row>
    <row r="119" spans="1:11" x14ac:dyDescent="0.3">
      <c r="A119" s="15" t="str">
        <v>EMP163</v>
      </c>
      <c r="B119" s="5" t="str">
        <v>Praveen Kannan</v>
      </c>
      <c r="C119" s="5" t="str">
        <v>Mumbai</v>
      </c>
      <c r="D119" s="5" t="str">
        <v>Customer Relationship</v>
      </c>
      <c r="E119" s="5" t="str">
        <v>Customer Relationship Officer</v>
      </c>
      <c r="F119" s="5">
        <v>0.39513888888888887</v>
      </c>
      <c r="G119" s="5">
        <v>0.78333333333333333</v>
      </c>
      <c r="H119" s="6">
        <f t="shared" si="4"/>
        <v>0.34652777777777777</v>
      </c>
      <c r="I119" s="4" t="str">
        <f t="shared" si="5"/>
        <v>Present</v>
      </c>
      <c r="J119" s="7">
        <f t="shared" si="6"/>
        <v>0</v>
      </c>
      <c r="K119" s="14" t="str">
        <f t="shared" si="7"/>
        <v/>
      </c>
    </row>
    <row r="120" spans="1:11" x14ac:dyDescent="0.3">
      <c r="A120" s="15" t="str">
        <v>EMP230</v>
      </c>
      <c r="B120" s="5" t="str">
        <v>Naveen T</v>
      </c>
      <c r="C120" s="5" t="str">
        <v>Hyderabad</v>
      </c>
      <c r="D120" s="5" t="str">
        <v>Customer Relationship</v>
      </c>
      <c r="E120" s="5" t="str">
        <v>Customer Service Executive</v>
      </c>
      <c r="F120" s="5">
        <v>0.40347222222222223</v>
      </c>
      <c r="G120" s="5">
        <v>0.77430555555555547</v>
      </c>
      <c r="H120" s="6">
        <f t="shared" si="4"/>
        <v>0.32916666666666655</v>
      </c>
      <c r="I120" s="4" t="str">
        <f t="shared" si="5"/>
        <v>Late</v>
      </c>
      <c r="J120" s="7">
        <f t="shared" si="6"/>
        <v>7.6388888888889173E-3</v>
      </c>
      <c r="K120" s="14" t="str">
        <f t="shared" si="7"/>
        <v/>
      </c>
    </row>
    <row r="121" spans="1:11" x14ac:dyDescent="0.3">
      <c r="A121" s="15" t="str">
        <v>EMP232</v>
      </c>
      <c r="B121" s="5" t="str">
        <v>Dinesh M</v>
      </c>
      <c r="C121" s="5" t="str">
        <v>Noida</v>
      </c>
      <c r="D121" s="5" t="str">
        <v>Customer Relationship</v>
      </c>
      <c r="E121" s="5" t="str">
        <v>Relationship Manager</v>
      </c>
      <c r="F121" s="5">
        <v>0.3756944444444445</v>
      </c>
      <c r="G121" s="5">
        <v>0.78472222222222221</v>
      </c>
      <c r="H121" s="6">
        <f t="shared" si="4"/>
        <v>0.36736111111111103</v>
      </c>
      <c r="I121" s="4" t="str">
        <f t="shared" si="5"/>
        <v>Present</v>
      </c>
      <c r="J121" s="7">
        <f t="shared" si="6"/>
        <v>0</v>
      </c>
      <c r="K121" s="14" t="str">
        <f t="shared" si="7"/>
        <v/>
      </c>
    </row>
    <row r="122" spans="1:11" x14ac:dyDescent="0.3">
      <c r="A122" s="15" t="str">
        <v>EMP238</v>
      </c>
      <c r="B122" s="5" t="str">
        <v>Nithin Raja</v>
      </c>
      <c r="C122" s="5" t="str">
        <v>Coimbatore</v>
      </c>
      <c r="D122" s="5" t="str">
        <v>Customer Relationship</v>
      </c>
      <c r="E122" s="5" t="str">
        <v>Customer Service Executive</v>
      </c>
      <c r="F122" s="5">
        <v>0.38750000000000001</v>
      </c>
      <c r="G122" s="5">
        <v>0.7895833333333333</v>
      </c>
      <c r="H122" s="6">
        <f t="shared" si="4"/>
        <v>0.36041666666666661</v>
      </c>
      <c r="I122" s="4" t="str">
        <f t="shared" si="5"/>
        <v>Present</v>
      </c>
      <c r="J122" s="7">
        <f t="shared" si="6"/>
        <v>0</v>
      </c>
      <c r="K122" s="14" t="str">
        <f t="shared" si="7"/>
        <v/>
      </c>
    </row>
    <row r="123" spans="1:11" x14ac:dyDescent="0.3">
      <c r="A123" s="15" t="str">
        <v>EMP247</v>
      </c>
      <c r="B123" s="5" t="str">
        <v>Nithin Selvam</v>
      </c>
      <c r="C123" s="5" t="str">
        <v>Kochi</v>
      </c>
      <c r="D123" s="5" t="str">
        <v>Customer Relationship</v>
      </c>
      <c r="E123" s="5" t="str">
        <v>CRM Executive</v>
      </c>
      <c r="F123" s="5">
        <v>0.40347222222222223</v>
      </c>
      <c r="G123" s="5">
        <v>0.77708333333333324</v>
      </c>
      <c r="H123" s="6">
        <f t="shared" si="4"/>
        <v>0.33194444444444432</v>
      </c>
      <c r="I123" s="4" t="str">
        <f t="shared" si="5"/>
        <v>Late</v>
      </c>
      <c r="J123" s="7">
        <f t="shared" si="6"/>
        <v>7.6388888888889173E-3</v>
      </c>
      <c r="K123" s="14" t="str">
        <f t="shared" si="7"/>
        <v/>
      </c>
    </row>
    <row r="124" spans="1:11" x14ac:dyDescent="0.3">
      <c r="A124" s="15" t="str">
        <v>EMP256</v>
      </c>
      <c r="B124" s="5" t="str">
        <v>Vijay Prasad</v>
      </c>
      <c r="C124" s="5" t="str">
        <v>Chennai</v>
      </c>
      <c r="D124" s="5" t="str">
        <v>Customer Relationship</v>
      </c>
      <c r="E124" s="5" t="str">
        <v>CRM Executive</v>
      </c>
      <c r="F124" s="5">
        <v>0.4055555555555555</v>
      </c>
      <c r="G124" s="5">
        <v>0.7909722222222223</v>
      </c>
      <c r="H124" s="6">
        <f t="shared" si="4"/>
        <v>0.34375000000000011</v>
      </c>
      <c r="I124" s="4" t="str">
        <f t="shared" si="5"/>
        <v>Late</v>
      </c>
      <c r="J124" s="7">
        <f t="shared" si="6"/>
        <v>9.7222222222221877E-3</v>
      </c>
      <c r="K124" s="14" t="str">
        <f t="shared" si="7"/>
        <v/>
      </c>
    </row>
    <row r="125" spans="1:11" x14ac:dyDescent="0.3">
      <c r="A125" s="15" t="str">
        <v>EMP257</v>
      </c>
      <c r="B125" s="5" t="str">
        <v>Aravind Prasad</v>
      </c>
      <c r="C125" s="5" t="str">
        <v>Delhi</v>
      </c>
      <c r="D125" s="5" t="str">
        <v>Customer Relationship</v>
      </c>
      <c r="E125" s="5" t="str">
        <v>Customer Success Executive</v>
      </c>
      <c r="F125" s="5">
        <v>0.38055555555555554</v>
      </c>
      <c r="G125" s="5">
        <v>0.7729166666666667</v>
      </c>
      <c r="H125" s="6">
        <f t="shared" si="4"/>
        <v>0.35069444444444448</v>
      </c>
      <c r="I125" s="4" t="str">
        <f t="shared" si="5"/>
        <v>Present</v>
      </c>
      <c r="J125" s="7">
        <f t="shared" si="6"/>
        <v>0</v>
      </c>
      <c r="K125" s="14" t="str">
        <f t="shared" si="7"/>
        <v/>
      </c>
    </row>
    <row r="126" spans="1:11" x14ac:dyDescent="0.3">
      <c r="A126" s="15" t="str">
        <v>EMP266</v>
      </c>
      <c r="B126" s="5" t="str">
        <v>Yogesh Murugan</v>
      </c>
      <c r="C126" s="5" t="str">
        <v>Bengaluru</v>
      </c>
      <c r="D126" s="5" t="str">
        <v>Customer Relationship</v>
      </c>
      <c r="E126" s="5" t="str">
        <v>CRM Executive</v>
      </c>
      <c r="F126" s="5">
        <v>0.39930555555555558</v>
      </c>
      <c r="G126" s="5">
        <v>0.78888888888888886</v>
      </c>
      <c r="H126" s="6">
        <f t="shared" si="4"/>
        <v>0.3479166666666666</v>
      </c>
      <c r="I126" s="4" t="str">
        <f t="shared" si="5"/>
        <v>Late</v>
      </c>
      <c r="J126" s="7">
        <f t="shared" si="6"/>
        <v>3.4722222222222654E-3</v>
      </c>
      <c r="K126" s="14" t="str">
        <f t="shared" si="7"/>
        <v/>
      </c>
    </row>
    <row r="127" spans="1:11" x14ac:dyDescent="0.3">
      <c r="A127" s="15" t="str">
        <v>EMP280</v>
      </c>
      <c r="B127" s="5" t="str">
        <v>Vinoth T</v>
      </c>
      <c r="C127" s="5" t="str">
        <v>Kochi</v>
      </c>
      <c r="D127" s="5" t="str">
        <v>Customer Relationship</v>
      </c>
      <c r="E127" s="5" t="str">
        <v>CRM Executive</v>
      </c>
      <c r="F127" s="5">
        <v>0.40416666666666662</v>
      </c>
      <c r="G127" s="5">
        <v>0.78749999999999998</v>
      </c>
      <c r="H127" s="6">
        <f t="shared" si="4"/>
        <v>0.34166666666666667</v>
      </c>
      <c r="I127" s="4" t="str">
        <f t="shared" si="5"/>
        <v>Late</v>
      </c>
      <c r="J127" s="7">
        <f t="shared" si="6"/>
        <v>8.3333333333333037E-3</v>
      </c>
      <c r="K127" s="14" t="str">
        <f t="shared" si="7"/>
        <v/>
      </c>
    </row>
    <row r="128" spans="1:11" x14ac:dyDescent="0.3">
      <c r="A128" s="15" t="str">
        <v>EMP290</v>
      </c>
      <c r="B128" s="5" t="str">
        <v>Prakash Prasad</v>
      </c>
      <c r="C128" s="5" t="str">
        <v>Bengaluru</v>
      </c>
      <c r="D128" s="5" t="str">
        <v>Customer Relationship</v>
      </c>
      <c r="E128" s="5" t="str">
        <v>Customer Service Executive</v>
      </c>
      <c r="F128" s="5">
        <v>0.375</v>
      </c>
      <c r="G128" s="5">
        <v>0.78055555555555556</v>
      </c>
      <c r="H128" s="6">
        <f t="shared" si="4"/>
        <v>0.36388888888888887</v>
      </c>
      <c r="I128" s="4" t="str">
        <f t="shared" si="5"/>
        <v>Present</v>
      </c>
      <c r="J128" s="7">
        <f t="shared" si="6"/>
        <v>0</v>
      </c>
      <c r="K128" s="14" t="str">
        <f t="shared" si="7"/>
        <v/>
      </c>
    </row>
    <row r="129" spans="1:11" x14ac:dyDescent="0.3">
      <c r="A129" s="15" t="str">
        <v>EMP004</v>
      </c>
      <c r="B129" s="5" t="str">
        <v>Ramesh Kumar</v>
      </c>
      <c r="C129" s="5" t="str">
        <v>Bengaluru</v>
      </c>
      <c r="D129" s="5" t="str">
        <v>Front Office</v>
      </c>
      <c r="E129" s="5" t="str">
        <v>Receptionist</v>
      </c>
      <c r="F129" s="5">
        <v>0.3979166666666667</v>
      </c>
      <c r="G129" s="5">
        <v>0.78541666666666676</v>
      </c>
      <c r="H129" s="6">
        <f t="shared" si="4"/>
        <v>0.34583333333333338</v>
      </c>
      <c r="I129" s="4" t="str">
        <f t="shared" si="5"/>
        <v>Late</v>
      </c>
      <c r="J129" s="7">
        <f t="shared" si="6"/>
        <v>2.0833333333333814E-3</v>
      </c>
      <c r="K129" s="14" t="str">
        <f t="shared" si="7"/>
        <v/>
      </c>
    </row>
    <row r="130" spans="1:11" x14ac:dyDescent="0.3">
      <c r="A130" s="15" t="str">
        <v>EMP005</v>
      </c>
      <c r="B130" s="5" t="str">
        <v>Naveen Kumar</v>
      </c>
      <c r="C130" s="5" t="str">
        <v>Coimbatore</v>
      </c>
      <c r="D130" s="5" t="str">
        <v>Front Office</v>
      </c>
      <c r="E130" s="5" t="str">
        <v>Front Office Executive</v>
      </c>
      <c r="F130" s="5">
        <v>0.38055555555555554</v>
      </c>
      <c r="G130" s="5">
        <v>0.7909722222222223</v>
      </c>
      <c r="H130" s="6">
        <f t="shared" si="4"/>
        <v>0.36875000000000008</v>
      </c>
      <c r="I130" s="4" t="str">
        <f t="shared" si="5"/>
        <v>Present</v>
      </c>
      <c r="J130" s="7">
        <f t="shared" si="6"/>
        <v>0</v>
      </c>
      <c r="K130" s="14" t="str">
        <f t="shared" si="7"/>
        <v/>
      </c>
    </row>
    <row r="131" spans="1:11" x14ac:dyDescent="0.3">
      <c r="A131" s="15" t="str">
        <v>EMP023</v>
      </c>
      <c r="B131" s="5" t="str">
        <v>Praveen Selvam</v>
      </c>
      <c r="C131" s="5" t="str">
        <v>Bengaluru</v>
      </c>
      <c r="D131" s="5" t="str">
        <v>Front Office</v>
      </c>
      <c r="E131" s="5" t="str">
        <v>Guest Relations Executive</v>
      </c>
      <c r="F131" s="5">
        <v>0.3979166666666667</v>
      </c>
      <c r="G131" s="5">
        <v>0.77569444444444446</v>
      </c>
      <c r="H131" s="6">
        <f t="shared" si="4"/>
        <v>0.33611111111111108</v>
      </c>
      <c r="I131" s="4" t="str">
        <f t="shared" si="5"/>
        <v>Late</v>
      </c>
      <c r="J131" s="7">
        <f t="shared" si="6"/>
        <v>2.0833333333333814E-3</v>
      </c>
      <c r="K131" s="14" t="str">
        <f t="shared" si="7"/>
        <v/>
      </c>
    </row>
    <row r="132" spans="1:11" x14ac:dyDescent="0.3">
      <c r="A132" s="15" t="str">
        <v>EMP041</v>
      </c>
      <c r="B132" s="5" t="str">
        <v>Ajay Raj</v>
      </c>
      <c r="C132" s="5" t="str">
        <v>Pune</v>
      </c>
      <c r="D132" s="5" t="str">
        <v>Front Office</v>
      </c>
      <c r="E132" s="5" t="str">
        <v>Guest Relations Executive</v>
      </c>
      <c r="F132" s="5">
        <v>0.39374999999999999</v>
      </c>
      <c r="G132" s="5">
        <v>0.78402777777777777</v>
      </c>
      <c r="H132" s="6">
        <f t="shared" ref="H132:H195" si="8">IF(OR(F132="",G132=""),0,G132-F132-TIME(1,0,0))</f>
        <v>0.34861111111111109</v>
      </c>
      <c r="I132" s="4" t="str">
        <f t="shared" ref="I132:I195" si="9">IF(F132="","Absent",IF(F132&gt;TIME(9,30,0),"Late","Present"))</f>
        <v>Present</v>
      </c>
      <c r="J132" s="7">
        <f t="shared" ref="J132:J195" si="10">IF(F132="","",IF(F132&lt;=TIME(9,30,0),0,F132-TIME(9,30,0)))</f>
        <v>0</v>
      </c>
      <c r="K132" s="14" t="str">
        <f t="shared" ref="K132:K195" si="11">IF(AND(F132&lt;&gt;"",G132=""),"On Duty","")</f>
        <v/>
      </c>
    </row>
    <row r="133" spans="1:11" x14ac:dyDescent="0.3">
      <c r="A133" s="15" t="str">
        <v>EMP049</v>
      </c>
      <c r="B133" s="5" t="str">
        <v>Vijay Murugan</v>
      </c>
      <c r="C133" s="5" t="str">
        <v>Pune</v>
      </c>
      <c r="D133" s="5" t="str">
        <v>Front Office</v>
      </c>
      <c r="E133" s="5" t="str">
        <v>Front Desk Coordinator</v>
      </c>
      <c r="F133" s="5">
        <v>0.40416666666666662</v>
      </c>
      <c r="G133" s="5">
        <v>0.77916666666666667</v>
      </c>
      <c r="H133" s="6">
        <f t="shared" si="8"/>
        <v>0.33333333333333337</v>
      </c>
      <c r="I133" s="4" t="str">
        <f t="shared" si="9"/>
        <v>Late</v>
      </c>
      <c r="J133" s="7">
        <f t="shared" si="10"/>
        <v>8.3333333333333037E-3</v>
      </c>
      <c r="K133" s="14" t="str">
        <f t="shared" si="11"/>
        <v/>
      </c>
    </row>
    <row r="134" spans="1:11" x14ac:dyDescent="0.3">
      <c r="A134" s="15" t="str">
        <v>EMP066</v>
      </c>
      <c r="B134" s="5" t="str">
        <v>Saravanan K</v>
      </c>
      <c r="C134" s="5" t="str">
        <v>Chennai</v>
      </c>
      <c r="D134" s="5" t="str">
        <v>Front Office</v>
      </c>
      <c r="E134" s="5" t="str">
        <v>Receptionist</v>
      </c>
      <c r="F134" s="5">
        <v>0.4055555555555555</v>
      </c>
      <c r="G134" s="5">
        <v>0.78611111111111109</v>
      </c>
      <c r="H134" s="6">
        <f t="shared" si="8"/>
        <v>0.33888888888888891</v>
      </c>
      <c r="I134" s="4" t="str">
        <f t="shared" si="9"/>
        <v>Late</v>
      </c>
      <c r="J134" s="7">
        <f t="shared" si="10"/>
        <v>9.7222222222221877E-3</v>
      </c>
      <c r="K134" s="14" t="str">
        <f t="shared" si="11"/>
        <v/>
      </c>
    </row>
    <row r="135" spans="1:11" x14ac:dyDescent="0.3">
      <c r="A135" s="15" t="str">
        <v>EMP079</v>
      </c>
      <c r="B135" s="5" t="str">
        <v>Nithin P</v>
      </c>
      <c r="C135" s="5" t="str">
        <v>Ahmedabad</v>
      </c>
      <c r="D135" s="5" t="str">
        <v>Front Office</v>
      </c>
      <c r="E135" s="5" t="str">
        <v>Guest Relations Executive</v>
      </c>
      <c r="F135" s="5">
        <v>0.3979166666666667</v>
      </c>
      <c r="G135" s="5">
        <v>0.7715277777777777</v>
      </c>
      <c r="H135" s="6">
        <f t="shared" si="8"/>
        <v>0.33194444444444432</v>
      </c>
      <c r="I135" s="4" t="str">
        <f t="shared" si="9"/>
        <v>Late</v>
      </c>
      <c r="J135" s="7">
        <f t="shared" si="10"/>
        <v>2.0833333333333814E-3</v>
      </c>
      <c r="K135" s="14" t="str">
        <f t="shared" si="11"/>
        <v/>
      </c>
    </row>
    <row r="136" spans="1:11" x14ac:dyDescent="0.3">
      <c r="A136" s="15" t="str">
        <v>EMP122</v>
      </c>
      <c r="B136" s="5" t="str">
        <v>Praveen Raja</v>
      </c>
      <c r="C136" s="5" t="str">
        <v>Chennai</v>
      </c>
      <c r="D136" s="5" t="str">
        <v>Front Office</v>
      </c>
      <c r="E136" s="5" t="str">
        <v>Front Office Executive</v>
      </c>
      <c r="F136" s="5">
        <v>0.40069444444444446</v>
      </c>
      <c r="G136" s="5">
        <v>0.77430555555555547</v>
      </c>
      <c r="H136" s="6">
        <f t="shared" si="8"/>
        <v>0.33194444444444432</v>
      </c>
      <c r="I136" s="4" t="str">
        <f t="shared" si="9"/>
        <v>Late</v>
      </c>
      <c r="J136" s="7">
        <f t="shared" si="10"/>
        <v>4.8611111111111494E-3</v>
      </c>
      <c r="K136" s="14" t="str">
        <f t="shared" si="11"/>
        <v/>
      </c>
    </row>
    <row r="137" spans="1:11" x14ac:dyDescent="0.3">
      <c r="A137" s="15" t="str">
        <v>EMP123</v>
      </c>
      <c r="B137" s="5" t="str">
        <v>Kishore R</v>
      </c>
      <c r="C137" s="5" t="str">
        <v>Ahmedabad</v>
      </c>
      <c r="D137" s="5" t="str">
        <v>Front Office</v>
      </c>
      <c r="E137" s="5" t="str">
        <v>Front Office Manager</v>
      </c>
      <c r="F137" s="5">
        <v>0.38125000000000003</v>
      </c>
      <c r="G137" s="5">
        <v>0.78541666666666676</v>
      </c>
      <c r="H137" s="6">
        <f t="shared" si="8"/>
        <v>0.36250000000000004</v>
      </c>
      <c r="I137" s="4" t="str">
        <f t="shared" si="9"/>
        <v>Present</v>
      </c>
      <c r="J137" s="7">
        <f t="shared" si="10"/>
        <v>0</v>
      </c>
      <c r="K137" s="14" t="str">
        <f t="shared" si="11"/>
        <v/>
      </c>
    </row>
    <row r="138" spans="1:11" x14ac:dyDescent="0.3">
      <c r="A138" s="15" t="str">
        <v>EMP134</v>
      </c>
      <c r="B138" s="5" t="str">
        <v>Bharath Raj</v>
      </c>
      <c r="C138" s="5" t="str">
        <v>Mumbai</v>
      </c>
      <c r="D138" s="5" t="str">
        <v>Front Office</v>
      </c>
      <c r="E138" s="5" t="str">
        <v>Front Office Executive</v>
      </c>
      <c r="F138" s="5">
        <v>0.37916666666666665</v>
      </c>
      <c r="G138" s="5">
        <v>0.7729166666666667</v>
      </c>
      <c r="H138" s="6">
        <f t="shared" si="8"/>
        <v>0.35208333333333336</v>
      </c>
      <c r="I138" s="4" t="str">
        <f t="shared" si="9"/>
        <v>Present</v>
      </c>
      <c r="J138" s="7">
        <f t="shared" si="10"/>
        <v>0</v>
      </c>
      <c r="K138" s="14" t="str">
        <f t="shared" si="11"/>
        <v/>
      </c>
    </row>
    <row r="139" spans="1:11" x14ac:dyDescent="0.3">
      <c r="A139" s="15" t="str">
        <v>EMP139</v>
      </c>
      <c r="B139" s="5" t="str">
        <v>Lokesh N</v>
      </c>
      <c r="C139" s="5" t="str">
        <v>Mumbai</v>
      </c>
      <c r="D139" s="5" t="str">
        <v>Front Office</v>
      </c>
      <c r="E139" s="5" t="str">
        <v>Front Office Executive</v>
      </c>
      <c r="F139" s="5">
        <v>0.3972222222222222</v>
      </c>
      <c r="G139" s="5">
        <v>0.77500000000000002</v>
      </c>
      <c r="H139" s="6">
        <f t="shared" si="8"/>
        <v>0.33611111111111114</v>
      </c>
      <c r="I139" s="4" t="str">
        <f t="shared" si="9"/>
        <v>Late</v>
      </c>
      <c r="J139" s="7">
        <f t="shared" si="10"/>
        <v>1.388888888888884E-3</v>
      </c>
      <c r="K139" s="14" t="str">
        <f t="shared" si="11"/>
        <v/>
      </c>
    </row>
    <row r="140" spans="1:11" x14ac:dyDescent="0.3">
      <c r="A140" s="15" t="str">
        <v>EMP141</v>
      </c>
      <c r="B140" s="5" t="str">
        <v>Saravanan Raja</v>
      </c>
      <c r="C140" s="5" t="str">
        <v>Mumbai</v>
      </c>
      <c r="D140" s="5" t="str">
        <v>Front Office</v>
      </c>
      <c r="E140" s="5" t="str">
        <v>Receptionist</v>
      </c>
      <c r="F140" s="5">
        <v>0.40277777777777773</v>
      </c>
      <c r="G140" s="5">
        <v>0.78680555555555554</v>
      </c>
      <c r="H140" s="6">
        <f t="shared" si="8"/>
        <v>0.34236111111111112</v>
      </c>
      <c r="I140" s="4" t="str">
        <f t="shared" si="9"/>
        <v>Late</v>
      </c>
      <c r="J140" s="7">
        <f t="shared" si="10"/>
        <v>6.9444444444444198E-3</v>
      </c>
      <c r="K140" s="14" t="str">
        <f t="shared" si="11"/>
        <v/>
      </c>
    </row>
    <row r="141" spans="1:11" x14ac:dyDescent="0.3">
      <c r="A141" s="15" t="str">
        <v>EMP171</v>
      </c>
      <c r="B141" s="5" t="str">
        <v>Nithin K</v>
      </c>
      <c r="C141" s="5" t="str">
        <v>Chennai</v>
      </c>
      <c r="D141" s="5" t="str">
        <v>Front Office</v>
      </c>
      <c r="E141" s="5" t="str">
        <v>Front Office Executive</v>
      </c>
      <c r="F141" s="5">
        <v>0.37638888888888888</v>
      </c>
      <c r="G141" s="5">
        <v>0.77083333333333337</v>
      </c>
      <c r="H141" s="6">
        <f t="shared" si="8"/>
        <v>0.3527777777777778</v>
      </c>
      <c r="I141" s="4" t="str">
        <f t="shared" si="9"/>
        <v>Present</v>
      </c>
      <c r="J141" s="7">
        <f t="shared" si="10"/>
        <v>0</v>
      </c>
      <c r="K141" s="14" t="str">
        <f t="shared" si="11"/>
        <v/>
      </c>
    </row>
    <row r="142" spans="1:11" x14ac:dyDescent="0.3">
      <c r="A142" s="15" t="str">
        <v>EMP172</v>
      </c>
      <c r="B142" s="5" t="str">
        <v>Praveen G</v>
      </c>
      <c r="C142" s="5" t="str">
        <v>Hyderabad</v>
      </c>
      <c r="D142" s="5" t="str">
        <v>Front Office</v>
      </c>
      <c r="E142" s="5" t="str">
        <v>Receptionist</v>
      </c>
      <c r="F142" s="5">
        <v>0.4055555555555555</v>
      </c>
      <c r="G142" s="5">
        <v>0.78125</v>
      </c>
      <c r="H142" s="6">
        <f t="shared" si="8"/>
        <v>0.33402777777777781</v>
      </c>
      <c r="I142" s="4" t="str">
        <f t="shared" si="9"/>
        <v>Late</v>
      </c>
      <c r="J142" s="7">
        <f t="shared" si="10"/>
        <v>9.7222222222221877E-3</v>
      </c>
      <c r="K142" s="14" t="str">
        <f t="shared" si="11"/>
        <v/>
      </c>
    </row>
    <row r="143" spans="1:11" x14ac:dyDescent="0.3">
      <c r="A143" s="15" t="str">
        <v>EMP183</v>
      </c>
      <c r="B143" s="5" t="str">
        <v>Madhan N</v>
      </c>
      <c r="C143" s="5" t="str">
        <v>Pune</v>
      </c>
      <c r="D143" s="5" t="str">
        <v>Front Office</v>
      </c>
      <c r="E143" s="5" t="str">
        <v>Front Desk Coordinator</v>
      </c>
      <c r="F143" s="5">
        <v>0.38958333333333334</v>
      </c>
      <c r="G143" s="5">
        <v>0.78263888888888899</v>
      </c>
      <c r="H143" s="6">
        <f t="shared" si="8"/>
        <v>0.35138888888888897</v>
      </c>
      <c r="I143" s="4" t="str">
        <f t="shared" si="9"/>
        <v>Present</v>
      </c>
      <c r="J143" s="7">
        <f t="shared" si="10"/>
        <v>0</v>
      </c>
      <c r="K143" s="14" t="str">
        <f t="shared" si="11"/>
        <v/>
      </c>
    </row>
    <row r="144" spans="1:11" x14ac:dyDescent="0.3">
      <c r="A144" s="15" t="str">
        <v>EMP185</v>
      </c>
      <c r="B144" s="5" t="str">
        <v>Nithin R</v>
      </c>
      <c r="C144" s="5" t="str">
        <v>Noida</v>
      </c>
      <c r="D144" s="5" t="str">
        <v>Front Office</v>
      </c>
      <c r="E144" s="5" t="str">
        <v>Front Office Executive</v>
      </c>
      <c r="F144" s="5">
        <v>0.3840277777777778</v>
      </c>
      <c r="G144" s="5">
        <v>0.77500000000000002</v>
      </c>
      <c r="H144" s="6">
        <f t="shared" si="8"/>
        <v>0.34930555555555554</v>
      </c>
      <c r="I144" s="4" t="str">
        <f t="shared" si="9"/>
        <v>Present</v>
      </c>
      <c r="J144" s="7">
        <f t="shared" si="10"/>
        <v>0</v>
      </c>
      <c r="K144" s="14" t="str">
        <f t="shared" si="11"/>
        <v/>
      </c>
    </row>
    <row r="145" spans="1:11" x14ac:dyDescent="0.3">
      <c r="A145" s="15" t="str">
        <v>EMP225</v>
      </c>
      <c r="B145" s="5" t="str">
        <v>Ramesh Prasad</v>
      </c>
      <c r="C145" s="5" t="str">
        <v>Delhi</v>
      </c>
      <c r="D145" s="5" t="str">
        <v>Front Office</v>
      </c>
      <c r="E145" s="5" t="str">
        <v>Front Office Executive</v>
      </c>
      <c r="F145" s="5">
        <v>0.40625</v>
      </c>
      <c r="G145" s="5">
        <v>0.77638888888888891</v>
      </c>
      <c r="H145" s="6">
        <f t="shared" si="8"/>
        <v>0.32847222222222222</v>
      </c>
      <c r="I145" s="4" t="str">
        <f t="shared" si="9"/>
        <v>Late</v>
      </c>
      <c r="J145" s="7">
        <f t="shared" si="10"/>
        <v>1.0416666666666685E-2</v>
      </c>
      <c r="K145" s="14" t="str">
        <f t="shared" si="11"/>
        <v/>
      </c>
    </row>
    <row r="146" spans="1:11" x14ac:dyDescent="0.3">
      <c r="A146" s="15" t="str">
        <v>EMP228</v>
      </c>
      <c r="B146" s="5" t="str">
        <v>Naveen Murugan</v>
      </c>
      <c r="C146" s="5" t="str">
        <v>Bengaluru</v>
      </c>
      <c r="D146" s="5" t="str">
        <v>Front Office</v>
      </c>
      <c r="E146" s="5" t="str">
        <v>Front Desk Coordinator</v>
      </c>
      <c r="F146" s="5">
        <v>0.3756944444444445</v>
      </c>
      <c r="G146" s="5">
        <v>0.77569444444444446</v>
      </c>
      <c r="H146" s="6">
        <f t="shared" si="8"/>
        <v>0.35833333333333328</v>
      </c>
      <c r="I146" s="4" t="str">
        <f t="shared" si="9"/>
        <v>Present</v>
      </c>
      <c r="J146" s="7">
        <f t="shared" si="10"/>
        <v>0</v>
      </c>
      <c r="K146" s="14" t="str">
        <f t="shared" si="11"/>
        <v/>
      </c>
    </row>
    <row r="147" spans="1:11" x14ac:dyDescent="0.3">
      <c r="A147" s="15" t="str">
        <v>EMP235</v>
      </c>
      <c r="B147" s="5" t="str">
        <v>Vinoth Babu</v>
      </c>
      <c r="C147" s="5" t="str">
        <v>Pune</v>
      </c>
      <c r="D147" s="5" t="str">
        <v>Front Office</v>
      </c>
      <c r="E147" s="5" t="str">
        <v>Front Desk Coordinator</v>
      </c>
      <c r="F147" s="5">
        <v>0.39027777777777778</v>
      </c>
      <c r="G147" s="5">
        <v>0.77847222222222223</v>
      </c>
      <c r="H147" s="6">
        <f t="shared" si="8"/>
        <v>0.34652777777777777</v>
      </c>
      <c r="I147" s="4" t="str">
        <f t="shared" si="9"/>
        <v>Present</v>
      </c>
      <c r="J147" s="7">
        <f t="shared" si="10"/>
        <v>0</v>
      </c>
      <c r="K147" s="14" t="str">
        <f t="shared" si="11"/>
        <v/>
      </c>
    </row>
    <row r="148" spans="1:11" x14ac:dyDescent="0.3">
      <c r="A148" s="15" t="str">
        <v>EMP239</v>
      </c>
      <c r="B148" s="5" t="str">
        <v>Mohan Prasad</v>
      </c>
      <c r="C148" s="5" t="str">
        <v>Bengaluru</v>
      </c>
      <c r="D148" s="5" t="str">
        <v>Front Office</v>
      </c>
      <c r="E148" s="5" t="str">
        <v>Front Office Manager</v>
      </c>
      <c r="F148" s="5">
        <v>0.39930555555555558</v>
      </c>
      <c r="G148" s="5">
        <v>0.78819444444444453</v>
      </c>
      <c r="H148" s="6">
        <f t="shared" si="8"/>
        <v>0.34722222222222227</v>
      </c>
      <c r="I148" s="4" t="str">
        <f t="shared" si="9"/>
        <v>Late</v>
      </c>
      <c r="J148" s="7">
        <f t="shared" si="10"/>
        <v>3.4722222222222654E-3</v>
      </c>
      <c r="K148" s="14" t="str">
        <f t="shared" si="11"/>
        <v/>
      </c>
    </row>
    <row r="149" spans="1:11" x14ac:dyDescent="0.3">
      <c r="A149" s="15" t="str">
        <v>EMP249</v>
      </c>
      <c r="B149" s="5" t="str">
        <v>Yogesh Selvam</v>
      </c>
      <c r="C149" s="5" t="str">
        <v>Bengaluru</v>
      </c>
      <c r="D149" s="5" t="str">
        <v>Front Office</v>
      </c>
      <c r="E149" s="5" t="str">
        <v>Front Office Executive</v>
      </c>
      <c r="F149" s="5">
        <v>0.37916666666666665</v>
      </c>
      <c r="G149" s="5">
        <v>0.78263888888888899</v>
      </c>
      <c r="H149" s="6">
        <f t="shared" si="8"/>
        <v>0.36180555555555566</v>
      </c>
      <c r="I149" s="4" t="str">
        <f t="shared" si="9"/>
        <v>Present</v>
      </c>
      <c r="J149" s="7">
        <f t="shared" si="10"/>
        <v>0</v>
      </c>
      <c r="K149" s="14" t="str">
        <f t="shared" si="11"/>
        <v/>
      </c>
    </row>
    <row r="150" spans="1:11" x14ac:dyDescent="0.3">
      <c r="A150" s="15" t="str">
        <v>EMP282</v>
      </c>
      <c r="B150" s="5" t="str">
        <v>Harish Selvam</v>
      </c>
      <c r="C150" s="5" t="str">
        <v>Delhi</v>
      </c>
      <c r="D150" s="5" t="str">
        <v>Front Office</v>
      </c>
      <c r="E150" s="5" t="str">
        <v>Front Office Executive</v>
      </c>
      <c r="F150" s="5">
        <v>0.375</v>
      </c>
      <c r="G150" s="5">
        <v>0.77569444444444446</v>
      </c>
      <c r="H150" s="6">
        <f t="shared" si="8"/>
        <v>0.35902777777777778</v>
      </c>
      <c r="I150" s="4" t="str">
        <f t="shared" si="9"/>
        <v>Present</v>
      </c>
      <c r="J150" s="7">
        <f t="shared" si="10"/>
        <v>0</v>
      </c>
      <c r="K150" s="14" t="str">
        <f t="shared" si="11"/>
        <v/>
      </c>
    </row>
    <row r="151" spans="1:11" x14ac:dyDescent="0.3">
      <c r="A151" s="15" t="str">
        <v>EMP020</v>
      </c>
      <c r="B151" s="5" t="str">
        <v>Karthik Narayanan</v>
      </c>
      <c r="C151" s="5" t="str">
        <v>Ahmedabad</v>
      </c>
      <c r="D151" s="5" t="str">
        <v>HR</v>
      </c>
      <c r="E151" s="5" t="str">
        <v>Recruiter</v>
      </c>
      <c r="F151" s="5">
        <v>0.38263888888888892</v>
      </c>
      <c r="G151" s="5">
        <v>0.78680555555555554</v>
      </c>
      <c r="H151" s="6">
        <f t="shared" si="8"/>
        <v>0.36249999999999993</v>
      </c>
      <c r="I151" s="4" t="str">
        <f t="shared" si="9"/>
        <v>Present</v>
      </c>
      <c r="J151" s="7">
        <f t="shared" si="10"/>
        <v>0</v>
      </c>
      <c r="K151" s="14" t="str">
        <f t="shared" si="11"/>
        <v/>
      </c>
    </row>
    <row r="152" spans="1:11" x14ac:dyDescent="0.3">
      <c r="A152" s="15" t="str">
        <v>EMP045</v>
      </c>
      <c r="B152" s="5" t="str">
        <v>Ajay Raja</v>
      </c>
      <c r="C152" s="5" t="str">
        <v>Chennai</v>
      </c>
      <c r="D152" s="5" t="str">
        <v>HR</v>
      </c>
      <c r="E152" s="5" t="str">
        <v>Recruiter</v>
      </c>
      <c r="F152" s="5">
        <v>0.40347222222222223</v>
      </c>
      <c r="G152" s="5">
        <v>0.78263888888888899</v>
      </c>
      <c r="H152" s="6">
        <f t="shared" si="8"/>
        <v>0.33750000000000008</v>
      </c>
      <c r="I152" s="4" t="str">
        <f t="shared" si="9"/>
        <v>Late</v>
      </c>
      <c r="J152" s="7">
        <f t="shared" si="10"/>
        <v>7.6388888888889173E-3</v>
      </c>
      <c r="K152" s="14" t="str">
        <f t="shared" si="11"/>
        <v/>
      </c>
    </row>
    <row r="153" spans="1:11" x14ac:dyDescent="0.3">
      <c r="A153" s="15" t="str">
        <v>EMP052</v>
      </c>
      <c r="B153" s="5" t="str">
        <v>Karthik Raja</v>
      </c>
      <c r="C153" s="5" t="str">
        <v>Ahmedabad</v>
      </c>
      <c r="D153" s="5" t="str">
        <v>HR</v>
      </c>
      <c r="E153" s="5" t="str">
        <v>Recruiter</v>
      </c>
      <c r="F153" s="5">
        <v>0.37777777777777777</v>
      </c>
      <c r="G153" s="5">
        <v>0.78125</v>
      </c>
      <c r="H153" s="6">
        <f t="shared" si="8"/>
        <v>0.36180555555555555</v>
      </c>
      <c r="I153" s="4" t="str">
        <f t="shared" si="9"/>
        <v>Present</v>
      </c>
      <c r="J153" s="7">
        <f t="shared" si="10"/>
        <v>0</v>
      </c>
      <c r="K153" s="14" t="str">
        <f t="shared" si="11"/>
        <v/>
      </c>
    </row>
    <row r="154" spans="1:11" x14ac:dyDescent="0.3">
      <c r="A154" s="15" t="str">
        <v>EMP068</v>
      </c>
      <c r="B154" s="5" t="str">
        <v>Vignesh V</v>
      </c>
      <c r="C154" s="5" t="str">
        <v>Ahmedabad</v>
      </c>
      <c r="D154" s="5" t="str">
        <v>HR</v>
      </c>
      <c r="E154" s="5" t="str">
        <v>HR Manager</v>
      </c>
      <c r="F154" s="5">
        <v>0.38611111111111113</v>
      </c>
      <c r="G154" s="5">
        <v>0.77500000000000002</v>
      </c>
      <c r="H154" s="6">
        <f t="shared" si="8"/>
        <v>0.34722222222222221</v>
      </c>
      <c r="I154" s="4" t="str">
        <f t="shared" si="9"/>
        <v>Present</v>
      </c>
      <c r="J154" s="7">
        <f t="shared" si="10"/>
        <v>0</v>
      </c>
      <c r="K154" s="14" t="str">
        <f t="shared" si="11"/>
        <v/>
      </c>
    </row>
    <row r="155" spans="1:11" x14ac:dyDescent="0.3">
      <c r="A155" s="15" t="str">
        <v>EMP085</v>
      </c>
      <c r="B155" s="5" t="str">
        <v>Manoj Krishnan</v>
      </c>
      <c r="C155" s="5" t="str">
        <v>Coimbatore</v>
      </c>
      <c r="D155" s="5" t="str">
        <v>HR</v>
      </c>
      <c r="E155" s="5" t="str">
        <v>HR Manager</v>
      </c>
      <c r="F155" s="5">
        <v>0.38819444444444445</v>
      </c>
      <c r="G155" s="5">
        <v>0.78402777777777777</v>
      </c>
      <c r="H155" s="6">
        <f t="shared" si="8"/>
        <v>0.35416666666666663</v>
      </c>
      <c r="I155" s="4" t="str">
        <f t="shared" si="9"/>
        <v>Present</v>
      </c>
      <c r="J155" s="7">
        <f t="shared" si="10"/>
        <v>0</v>
      </c>
      <c r="K155" s="14" t="str">
        <f t="shared" si="11"/>
        <v/>
      </c>
    </row>
    <row r="156" spans="1:11" x14ac:dyDescent="0.3">
      <c r="A156" s="15" t="str">
        <v>EMP115</v>
      </c>
      <c r="B156" s="5" t="str">
        <v>Vijay Raj</v>
      </c>
      <c r="C156" s="5" t="str">
        <v>Coimbatore</v>
      </c>
      <c r="D156" s="5" t="str">
        <v>HR</v>
      </c>
      <c r="E156" s="5" t="str">
        <v>Recruiter</v>
      </c>
      <c r="F156" s="5">
        <v>0.39513888888888887</v>
      </c>
      <c r="G156" s="5">
        <v>0.77361111111111114</v>
      </c>
      <c r="H156" s="6">
        <f t="shared" si="8"/>
        <v>0.33680555555555558</v>
      </c>
      <c r="I156" s="4" t="str">
        <f t="shared" si="9"/>
        <v>Present</v>
      </c>
      <c r="J156" s="7">
        <f t="shared" si="10"/>
        <v>0</v>
      </c>
      <c r="K156" s="14" t="str">
        <f t="shared" si="11"/>
        <v/>
      </c>
    </row>
    <row r="157" spans="1:11" x14ac:dyDescent="0.3">
      <c r="A157" s="15" t="str">
        <v>EMP116</v>
      </c>
      <c r="B157" s="5" t="str">
        <v>Suresh Raja</v>
      </c>
      <c r="C157" s="5" t="str">
        <v>Ahmedabad</v>
      </c>
      <c r="D157" s="5" t="str">
        <v>HR</v>
      </c>
      <c r="E157" s="5" t="str">
        <v>Senior HR Executive</v>
      </c>
      <c r="F157" s="5">
        <v>0.39513888888888887</v>
      </c>
      <c r="G157" s="5">
        <v>0.77222222222222225</v>
      </c>
      <c r="H157" s="6">
        <f t="shared" si="8"/>
        <v>0.3354166666666667</v>
      </c>
      <c r="I157" s="4" t="str">
        <f t="shared" si="9"/>
        <v>Present</v>
      </c>
      <c r="J157" s="7">
        <f t="shared" si="10"/>
        <v>0</v>
      </c>
      <c r="K157" s="14" t="str">
        <f t="shared" si="11"/>
        <v/>
      </c>
    </row>
    <row r="158" spans="1:11" x14ac:dyDescent="0.3">
      <c r="A158" s="15" t="str">
        <v>EMP125</v>
      </c>
      <c r="B158" s="5" t="str">
        <v>Karthik Prasad</v>
      </c>
      <c r="C158" s="5" t="str">
        <v>Ahmedabad</v>
      </c>
      <c r="D158" s="5" t="str">
        <v>HR</v>
      </c>
      <c r="E158" s="5" t="str">
        <v>Payroll Executive</v>
      </c>
      <c r="F158" s="5">
        <v>0.40138888888888885</v>
      </c>
      <c r="G158" s="5">
        <v>0.77708333333333324</v>
      </c>
      <c r="H158" s="6">
        <f t="shared" si="8"/>
        <v>0.3340277777777777</v>
      </c>
      <c r="I158" s="4" t="str">
        <f t="shared" si="9"/>
        <v>Late</v>
      </c>
      <c r="J158" s="7">
        <f t="shared" si="10"/>
        <v>5.5555555555555358E-3</v>
      </c>
      <c r="K158" s="14" t="str">
        <f t="shared" si="11"/>
        <v/>
      </c>
    </row>
    <row r="159" spans="1:11" x14ac:dyDescent="0.3">
      <c r="A159" s="15" t="str">
        <v>EMP156</v>
      </c>
      <c r="B159" s="5" t="str">
        <v>Naveen M</v>
      </c>
      <c r="C159" s="5" t="str">
        <v>Noida</v>
      </c>
      <c r="D159" s="5" t="str">
        <v>HR</v>
      </c>
      <c r="E159" s="5" t="str">
        <v>HR Manager</v>
      </c>
      <c r="F159" s="5">
        <v>0.39444444444444443</v>
      </c>
      <c r="G159" s="5">
        <v>0.77500000000000002</v>
      </c>
      <c r="H159" s="6">
        <f t="shared" si="8"/>
        <v>0.33888888888888891</v>
      </c>
      <c r="I159" s="4" t="str">
        <f t="shared" si="9"/>
        <v>Present</v>
      </c>
      <c r="J159" s="7">
        <f t="shared" si="10"/>
        <v>0</v>
      </c>
      <c r="K159" s="14" t="str">
        <f t="shared" si="11"/>
        <v/>
      </c>
    </row>
    <row r="160" spans="1:11" x14ac:dyDescent="0.3">
      <c r="A160" s="15" t="str">
        <v>EMP174</v>
      </c>
      <c r="B160" s="5" t="str">
        <v>Manoj Raja</v>
      </c>
      <c r="C160" s="5" t="str">
        <v>Chennai</v>
      </c>
      <c r="D160" s="5" t="str">
        <v>HR</v>
      </c>
      <c r="E160" s="5" t="str">
        <v>Payroll Executive</v>
      </c>
      <c r="F160" s="5">
        <v>0.39930555555555558</v>
      </c>
      <c r="G160" s="5">
        <v>0.77569444444444446</v>
      </c>
      <c r="H160" s="6">
        <f t="shared" si="8"/>
        <v>0.3347222222222222</v>
      </c>
      <c r="I160" s="4" t="str">
        <f t="shared" si="9"/>
        <v>Late</v>
      </c>
      <c r="J160" s="7">
        <f t="shared" si="10"/>
        <v>3.4722222222222654E-3</v>
      </c>
      <c r="K160" s="14" t="str">
        <f t="shared" si="11"/>
        <v/>
      </c>
    </row>
    <row r="161" spans="1:11" x14ac:dyDescent="0.3">
      <c r="A161" s="15" t="str">
        <v>EMP196</v>
      </c>
      <c r="B161" s="5" t="str">
        <v>Lokesh Raja</v>
      </c>
      <c r="C161" s="5" t="str">
        <v>Mumbai</v>
      </c>
      <c r="D161" s="5" t="str">
        <v>HR</v>
      </c>
      <c r="E161" s="5" t="str">
        <v>Payroll Executive</v>
      </c>
      <c r="F161" s="5">
        <v>0.39930555555555558</v>
      </c>
      <c r="G161" s="5">
        <v>0.78055555555555556</v>
      </c>
      <c r="H161" s="6">
        <f t="shared" si="8"/>
        <v>0.33958333333333329</v>
      </c>
      <c r="I161" s="4" t="str">
        <f t="shared" si="9"/>
        <v>Late</v>
      </c>
      <c r="J161" s="7">
        <f t="shared" si="10"/>
        <v>3.4722222222222654E-3</v>
      </c>
      <c r="K161" s="14" t="str">
        <f t="shared" si="11"/>
        <v/>
      </c>
    </row>
    <row r="162" spans="1:11" x14ac:dyDescent="0.3">
      <c r="A162" s="15" t="str">
        <v>EMP207</v>
      </c>
      <c r="B162" s="5" t="str">
        <v>Lokesh M</v>
      </c>
      <c r="C162" s="5" t="str">
        <v>Mumbai</v>
      </c>
      <c r="D162" s="5" t="str">
        <v>HR</v>
      </c>
      <c r="E162" s="5" t="str">
        <v>Payroll Executive</v>
      </c>
      <c r="F162" s="5">
        <v>0.4055555555555555</v>
      </c>
      <c r="G162" s="5">
        <v>0.78055555555555556</v>
      </c>
      <c r="H162" s="6">
        <f t="shared" si="8"/>
        <v>0.33333333333333337</v>
      </c>
      <c r="I162" s="4" t="str">
        <f t="shared" si="9"/>
        <v>Late</v>
      </c>
      <c r="J162" s="7">
        <f t="shared" si="10"/>
        <v>9.7222222222221877E-3</v>
      </c>
      <c r="K162" s="14" t="str">
        <f t="shared" si="11"/>
        <v/>
      </c>
    </row>
    <row r="163" spans="1:11" x14ac:dyDescent="0.3">
      <c r="A163" s="15" t="str">
        <v>EMP219</v>
      </c>
      <c r="B163" s="5" t="str">
        <v>Arun S</v>
      </c>
      <c r="C163" s="5" t="str">
        <v>Mumbai</v>
      </c>
      <c r="D163" s="5" t="str">
        <v>HR</v>
      </c>
      <c r="E163" s="5" t="str">
        <v>HR Executive</v>
      </c>
      <c r="F163" s="5">
        <v>0.3756944444444445</v>
      </c>
      <c r="G163" s="5">
        <v>0.78541666666666676</v>
      </c>
      <c r="H163" s="6">
        <f t="shared" si="8"/>
        <v>0.36805555555555558</v>
      </c>
      <c r="I163" s="4" t="str">
        <f t="shared" si="9"/>
        <v>Present</v>
      </c>
      <c r="J163" s="7">
        <f t="shared" si="10"/>
        <v>0</v>
      </c>
      <c r="K163" s="14" t="str">
        <f t="shared" si="11"/>
        <v/>
      </c>
    </row>
    <row r="164" spans="1:11" x14ac:dyDescent="0.3">
      <c r="A164" s="15" t="str">
        <v>EMP237</v>
      </c>
      <c r="B164" s="5" t="str">
        <v>Karthik N</v>
      </c>
      <c r="C164" s="5" t="str">
        <v>Mumbai</v>
      </c>
      <c r="D164" s="5" t="str">
        <v>HR</v>
      </c>
      <c r="E164" s="5" t="str">
        <v>HR Manager</v>
      </c>
      <c r="F164" s="5">
        <v>0.38194444444444442</v>
      </c>
      <c r="G164" s="5">
        <v>0.77638888888888891</v>
      </c>
      <c r="H164" s="6">
        <f t="shared" si="8"/>
        <v>0.3527777777777778</v>
      </c>
      <c r="I164" s="4" t="str">
        <f t="shared" si="9"/>
        <v>Present</v>
      </c>
      <c r="J164" s="7">
        <f t="shared" si="10"/>
        <v>0</v>
      </c>
      <c r="K164" s="14" t="str">
        <f t="shared" si="11"/>
        <v/>
      </c>
    </row>
    <row r="165" spans="1:11" x14ac:dyDescent="0.3">
      <c r="A165" s="15" t="str">
        <v>EMP262</v>
      </c>
      <c r="B165" s="5" t="str">
        <v>Ganesh G</v>
      </c>
      <c r="C165" s="5" t="str">
        <v>Pune</v>
      </c>
      <c r="D165" s="5" t="str">
        <v>HR</v>
      </c>
      <c r="E165" s="5" t="str">
        <v>Recruiter</v>
      </c>
      <c r="F165" s="5">
        <v>0.38958333333333334</v>
      </c>
      <c r="G165" s="5"/>
      <c r="H165" s="6">
        <f t="shared" si="8"/>
        <v>0</v>
      </c>
      <c r="I165" s="4" t="str">
        <f t="shared" si="9"/>
        <v>Present</v>
      </c>
      <c r="J165" s="7">
        <f t="shared" si="10"/>
        <v>0</v>
      </c>
      <c r="K165" s="14" t="str">
        <f t="shared" si="11"/>
        <v>On Duty</v>
      </c>
    </row>
    <row r="166" spans="1:11" x14ac:dyDescent="0.3">
      <c r="A166" s="15" t="str">
        <v>EMP284</v>
      </c>
      <c r="B166" s="5" t="str">
        <v>Naveen Babu</v>
      </c>
      <c r="C166" s="5" t="str">
        <v>Mumbai</v>
      </c>
      <c r="D166" s="5" t="str">
        <v>HR</v>
      </c>
      <c r="E166" s="5" t="str">
        <v>HR Executive</v>
      </c>
      <c r="F166" s="5">
        <v>0.37638888888888888</v>
      </c>
      <c r="G166" s="5">
        <v>0.7909722222222223</v>
      </c>
      <c r="H166" s="6">
        <f t="shared" si="8"/>
        <v>0.37291666666666673</v>
      </c>
      <c r="I166" s="4" t="str">
        <f t="shared" si="9"/>
        <v>Present</v>
      </c>
      <c r="J166" s="7">
        <f t="shared" si="10"/>
        <v>0</v>
      </c>
      <c r="K166" s="14" t="str">
        <f t="shared" si="11"/>
        <v/>
      </c>
    </row>
    <row r="167" spans="1:11" x14ac:dyDescent="0.3">
      <c r="A167" s="15" t="str">
        <v>EMP014</v>
      </c>
      <c r="B167" s="5" t="str">
        <v>Vignesh P</v>
      </c>
      <c r="C167" s="5" t="str">
        <v>Kochi</v>
      </c>
      <c r="D167" s="5" t="str">
        <v>IT</v>
      </c>
      <c r="E167" s="5" t="str">
        <v>Network Engineer</v>
      </c>
      <c r="F167" s="5">
        <v>0.39027777777777778</v>
      </c>
      <c r="G167" s="5">
        <v>0.77986111111111101</v>
      </c>
      <c r="H167" s="6">
        <f t="shared" si="8"/>
        <v>0.34791666666666654</v>
      </c>
      <c r="I167" s="4" t="str">
        <f t="shared" si="9"/>
        <v>Present</v>
      </c>
      <c r="J167" s="7">
        <f t="shared" si="10"/>
        <v>0</v>
      </c>
      <c r="K167" s="14" t="str">
        <f t="shared" si="11"/>
        <v/>
      </c>
    </row>
    <row r="168" spans="1:11" x14ac:dyDescent="0.3">
      <c r="A168" s="15" t="str">
        <v>EMP034</v>
      </c>
      <c r="B168" s="5" t="str">
        <v>Praveen S</v>
      </c>
      <c r="C168" s="5" t="str">
        <v>Pune</v>
      </c>
      <c r="D168" s="5" t="str">
        <v>IT</v>
      </c>
      <c r="E168" s="5" t="str">
        <v>System Administrator</v>
      </c>
      <c r="F168" s="5"/>
      <c r="G168" s="5"/>
      <c r="H168" s="6">
        <f t="shared" si="8"/>
        <v>0</v>
      </c>
      <c r="I168" s="4" t="str">
        <f t="shared" si="9"/>
        <v>Absent</v>
      </c>
      <c r="J168" s="7" t="str">
        <f t="shared" si="10"/>
        <v/>
      </c>
      <c r="K168" s="14" t="str">
        <f t="shared" si="11"/>
        <v/>
      </c>
    </row>
    <row r="169" spans="1:11" x14ac:dyDescent="0.3">
      <c r="A169" s="15" t="str">
        <v>EMP044</v>
      </c>
      <c r="B169" s="5" t="str">
        <v>Karthik Krishnan</v>
      </c>
      <c r="C169" s="5" t="str">
        <v>Coimbatore</v>
      </c>
      <c r="D169" s="5" t="str">
        <v>IT</v>
      </c>
      <c r="E169" s="5" t="str">
        <v>Network Engineer</v>
      </c>
      <c r="F169" s="5">
        <v>0.3888888888888889</v>
      </c>
      <c r="G169" s="5">
        <v>0.77986111111111101</v>
      </c>
      <c r="H169" s="6">
        <f t="shared" si="8"/>
        <v>0.34930555555555542</v>
      </c>
      <c r="I169" s="4" t="str">
        <f t="shared" si="9"/>
        <v>Present</v>
      </c>
      <c r="J169" s="7">
        <f t="shared" si="10"/>
        <v>0</v>
      </c>
      <c r="K169" s="14" t="str">
        <f t="shared" si="11"/>
        <v/>
      </c>
    </row>
    <row r="170" spans="1:11" x14ac:dyDescent="0.3">
      <c r="A170" s="15" t="str">
        <v>EMP054</v>
      </c>
      <c r="B170" s="5" t="str">
        <v>Yuvaraj Krishnan</v>
      </c>
      <c r="C170" s="5" t="str">
        <v>Kochi</v>
      </c>
      <c r="D170" s="5" t="str">
        <v>IT</v>
      </c>
      <c r="E170" s="5" t="str">
        <v>System Administrator</v>
      </c>
      <c r="F170" s="5">
        <v>0.38472222222222219</v>
      </c>
      <c r="G170" s="5">
        <v>0.7715277777777777</v>
      </c>
      <c r="H170" s="6">
        <f t="shared" si="8"/>
        <v>0.34513888888888883</v>
      </c>
      <c r="I170" s="4" t="str">
        <f t="shared" si="9"/>
        <v>Present</v>
      </c>
      <c r="J170" s="7">
        <f t="shared" si="10"/>
        <v>0</v>
      </c>
      <c r="K170" s="14" t="str">
        <f t="shared" si="11"/>
        <v/>
      </c>
    </row>
    <row r="171" spans="1:11" x14ac:dyDescent="0.3">
      <c r="A171" s="15" t="str">
        <v>EMP055</v>
      </c>
      <c r="B171" s="5" t="str">
        <v>Lokesh V</v>
      </c>
      <c r="C171" s="5" t="str">
        <v>Mumbai</v>
      </c>
      <c r="D171" s="5" t="str">
        <v>IT</v>
      </c>
      <c r="E171" s="5" t="str">
        <v>Software Developer</v>
      </c>
      <c r="F171" s="5">
        <v>0.39374999999999999</v>
      </c>
      <c r="G171" s="5">
        <v>0.78680555555555554</v>
      </c>
      <c r="H171" s="6">
        <f t="shared" si="8"/>
        <v>0.35138888888888886</v>
      </c>
      <c r="I171" s="4" t="str">
        <f t="shared" si="9"/>
        <v>Present</v>
      </c>
      <c r="J171" s="7">
        <f t="shared" si="10"/>
        <v>0</v>
      </c>
      <c r="K171" s="14" t="str">
        <f t="shared" si="11"/>
        <v/>
      </c>
    </row>
    <row r="172" spans="1:11" x14ac:dyDescent="0.3">
      <c r="A172" s="15" t="str">
        <v>EMP081</v>
      </c>
      <c r="B172" s="5" t="str">
        <v>Aravind S</v>
      </c>
      <c r="C172" s="5" t="str">
        <v>Noida</v>
      </c>
      <c r="D172" s="5" t="str">
        <v>IT</v>
      </c>
      <c r="E172" s="5" t="str">
        <v>IT Manager</v>
      </c>
      <c r="F172" s="5">
        <v>0.38194444444444442</v>
      </c>
      <c r="G172" s="5">
        <v>0.77708333333333324</v>
      </c>
      <c r="H172" s="6">
        <f t="shared" si="8"/>
        <v>0.35347222222222213</v>
      </c>
      <c r="I172" s="4" t="str">
        <f t="shared" si="9"/>
        <v>Present</v>
      </c>
      <c r="J172" s="7">
        <f t="shared" si="10"/>
        <v>0</v>
      </c>
      <c r="K172" s="14" t="str">
        <f t="shared" si="11"/>
        <v/>
      </c>
    </row>
    <row r="173" spans="1:11" x14ac:dyDescent="0.3">
      <c r="A173" s="15" t="str">
        <v>EMP096</v>
      </c>
      <c r="B173" s="5" t="str">
        <v>Vijay K</v>
      </c>
      <c r="C173" s="5" t="str">
        <v>Hyderabad</v>
      </c>
      <c r="D173" s="5" t="str">
        <v>IT</v>
      </c>
      <c r="E173" s="5" t="str">
        <v>IT Support Engineer</v>
      </c>
      <c r="F173" s="5">
        <v>0.39861111111111108</v>
      </c>
      <c r="G173" s="5">
        <v>0.7895833333333333</v>
      </c>
      <c r="H173" s="6">
        <f t="shared" si="8"/>
        <v>0.34930555555555554</v>
      </c>
      <c r="I173" s="4" t="str">
        <f t="shared" si="9"/>
        <v>Late</v>
      </c>
      <c r="J173" s="7">
        <f t="shared" si="10"/>
        <v>2.7777777777777679E-3</v>
      </c>
      <c r="K173" s="14" t="str">
        <f t="shared" si="11"/>
        <v/>
      </c>
    </row>
    <row r="174" spans="1:11" x14ac:dyDescent="0.3">
      <c r="A174" s="15" t="str">
        <v>EMP106</v>
      </c>
      <c r="B174" s="5" t="str">
        <v>Nithin Raj</v>
      </c>
      <c r="C174" s="5" t="str">
        <v>Hyderabad</v>
      </c>
      <c r="D174" s="5" t="str">
        <v>IT</v>
      </c>
      <c r="E174" s="5" t="str">
        <v>Network Engineer</v>
      </c>
      <c r="F174" s="5">
        <v>0.37916666666666665</v>
      </c>
      <c r="G174" s="5">
        <v>0.78819444444444453</v>
      </c>
      <c r="H174" s="6">
        <f t="shared" si="8"/>
        <v>0.36736111111111119</v>
      </c>
      <c r="I174" s="4" t="str">
        <f t="shared" si="9"/>
        <v>Present</v>
      </c>
      <c r="J174" s="7">
        <f t="shared" si="10"/>
        <v>0</v>
      </c>
      <c r="K174" s="14" t="str">
        <f t="shared" si="11"/>
        <v/>
      </c>
    </row>
    <row r="175" spans="1:11" x14ac:dyDescent="0.3">
      <c r="A175" s="15" t="str">
        <v>EMP121</v>
      </c>
      <c r="B175" s="5" t="str">
        <v>Ganesh Prasad</v>
      </c>
      <c r="C175" s="5" t="str">
        <v>Kochi</v>
      </c>
      <c r="D175" s="5" t="str">
        <v>IT</v>
      </c>
      <c r="E175" s="5" t="str">
        <v>Software Developer</v>
      </c>
      <c r="F175" s="5">
        <v>0.38958333333333334</v>
      </c>
      <c r="G175" s="5">
        <v>0.78541666666666676</v>
      </c>
      <c r="H175" s="6">
        <f t="shared" si="8"/>
        <v>0.35416666666666674</v>
      </c>
      <c r="I175" s="4" t="str">
        <f t="shared" si="9"/>
        <v>Present</v>
      </c>
      <c r="J175" s="7">
        <f t="shared" si="10"/>
        <v>0</v>
      </c>
      <c r="K175" s="14" t="str">
        <f t="shared" si="11"/>
        <v/>
      </c>
    </row>
    <row r="176" spans="1:11" x14ac:dyDescent="0.3">
      <c r="A176" s="15" t="str">
        <v>EMP164</v>
      </c>
      <c r="B176" s="5" t="str">
        <v>Yogesh T</v>
      </c>
      <c r="C176" s="5" t="str">
        <v>Delhi</v>
      </c>
      <c r="D176" s="5" t="str">
        <v>IT</v>
      </c>
      <c r="E176" s="5" t="str">
        <v>IT Support Engineer</v>
      </c>
      <c r="F176" s="5">
        <v>0.39444444444444443</v>
      </c>
      <c r="G176" s="5">
        <v>0.78055555555555556</v>
      </c>
      <c r="H176" s="6">
        <f t="shared" si="8"/>
        <v>0.34444444444444444</v>
      </c>
      <c r="I176" s="4" t="str">
        <f t="shared" si="9"/>
        <v>Present</v>
      </c>
      <c r="J176" s="7">
        <f t="shared" si="10"/>
        <v>0</v>
      </c>
      <c r="K176" s="14" t="str">
        <f t="shared" si="11"/>
        <v/>
      </c>
    </row>
    <row r="177" spans="1:11" x14ac:dyDescent="0.3">
      <c r="A177" s="15" t="str">
        <v>EMP182</v>
      </c>
      <c r="B177" s="5" t="str">
        <v>Sathish Prasad</v>
      </c>
      <c r="C177" s="5" t="str">
        <v>Hyderabad</v>
      </c>
      <c r="D177" s="5" t="str">
        <v>IT</v>
      </c>
      <c r="E177" s="5" t="str">
        <v>IT Manager</v>
      </c>
      <c r="F177" s="5">
        <v>0.37916666666666665</v>
      </c>
      <c r="G177" s="5">
        <v>0.77847222222222223</v>
      </c>
      <c r="H177" s="6">
        <f t="shared" si="8"/>
        <v>0.3576388888888889</v>
      </c>
      <c r="I177" s="4" t="str">
        <f t="shared" si="9"/>
        <v>Present</v>
      </c>
      <c r="J177" s="7">
        <f t="shared" si="10"/>
        <v>0</v>
      </c>
      <c r="K177" s="14" t="str">
        <f t="shared" si="11"/>
        <v/>
      </c>
    </row>
    <row r="178" spans="1:11" x14ac:dyDescent="0.3">
      <c r="A178" s="15" t="str">
        <v>EMP197</v>
      </c>
      <c r="B178" s="5" t="str">
        <v>Mohan K</v>
      </c>
      <c r="C178" s="5" t="str">
        <v>Chennai</v>
      </c>
      <c r="D178" s="5" t="str">
        <v>IT</v>
      </c>
      <c r="E178" s="5" t="str">
        <v>IT Manager</v>
      </c>
      <c r="F178" s="5">
        <v>0.39166666666666666</v>
      </c>
      <c r="G178" s="5">
        <v>0.77430555555555547</v>
      </c>
      <c r="H178" s="6">
        <f t="shared" si="8"/>
        <v>0.34097222222222212</v>
      </c>
      <c r="I178" s="4" t="str">
        <f t="shared" si="9"/>
        <v>Present</v>
      </c>
      <c r="J178" s="7">
        <f t="shared" si="10"/>
        <v>0</v>
      </c>
      <c r="K178" s="14" t="str">
        <f t="shared" si="11"/>
        <v/>
      </c>
    </row>
    <row r="179" spans="1:11" x14ac:dyDescent="0.3">
      <c r="A179" s="15" t="str">
        <v>EMP210</v>
      </c>
      <c r="B179" s="5" t="str">
        <v>Madhan K</v>
      </c>
      <c r="C179" s="5" t="str">
        <v>Noida</v>
      </c>
      <c r="D179" s="5" t="str">
        <v>IT</v>
      </c>
      <c r="E179" s="5" t="str">
        <v>Software Developer</v>
      </c>
      <c r="F179" s="5">
        <v>0.37777777777777777</v>
      </c>
      <c r="G179" s="5">
        <v>0.77777777777777779</v>
      </c>
      <c r="H179" s="6">
        <f t="shared" si="8"/>
        <v>0.35833333333333334</v>
      </c>
      <c r="I179" s="4" t="str">
        <f t="shared" si="9"/>
        <v>Present</v>
      </c>
      <c r="J179" s="7">
        <f t="shared" si="10"/>
        <v>0</v>
      </c>
      <c r="K179" s="14" t="str">
        <f t="shared" si="11"/>
        <v/>
      </c>
    </row>
    <row r="180" spans="1:11" x14ac:dyDescent="0.3">
      <c r="A180" s="15" t="str">
        <v>EMP215</v>
      </c>
      <c r="B180" s="5" t="str">
        <v>Karthik V</v>
      </c>
      <c r="C180" s="5" t="str">
        <v>Bengaluru</v>
      </c>
      <c r="D180" s="5" t="str">
        <v>IT</v>
      </c>
      <c r="E180" s="5" t="str">
        <v>IT Support Engineer</v>
      </c>
      <c r="F180" s="5">
        <v>0.38958333333333334</v>
      </c>
      <c r="G180" s="5">
        <v>0.77638888888888891</v>
      </c>
      <c r="H180" s="6">
        <f t="shared" si="8"/>
        <v>0.34513888888888888</v>
      </c>
      <c r="I180" s="4" t="str">
        <f t="shared" si="9"/>
        <v>Present</v>
      </c>
      <c r="J180" s="7">
        <f t="shared" si="10"/>
        <v>0</v>
      </c>
      <c r="K180" s="14" t="str">
        <f t="shared" si="11"/>
        <v/>
      </c>
    </row>
    <row r="181" spans="1:11" x14ac:dyDescent="0.3">
      <c r="A181" s="15" t="str">
        <v>EMP226</v>
      </c>
      <c r="B181" s="5" t="str">
        <v>Sathish R</v>
      </c>
      <c r="C181" s="5" t="str">
        <v>Bengaluru</v>
      </c>
      <c r="D181" s="5" t="str">
        <v>IT</v>
      </c>
      <c r="E181" s="5" t="str">
        <v>System Administrator</v>
      </c>
      <c r="F181" s="5">
        <v>0.40069444444444446</v>
      </c>
      <c r="G181" s="5">
        <v>0.77500000000000002</v>
      </c>
      <c r="H181" s="6">
        <f t="shared" si="8"/>
        <v>0.33263888888888887</v>
      </c>
      <c r="I181" s="4" t="str">
        <f t="shared" si="9"/>
        <v>Late</v>
      </c>
      <c r="J181" s="7">
        <f t="shared" si="10"/>
        <v>4.8611111111111494E-3</v>
      </c>
      <c r="K181" s="14" t="str">
        <f t="shared" si="11"/>
        <v/>
      </c>
    </row>
    <row r="182" spans="1:11" x14ac:dyDescent="0.3">
      <c r="A182" s="15" t="str">
        <v>EMP253</v>
      </c>
      <c r="B182" s="5" t="str">
        <v>Vinoth Raj</v>
      </c>
      <c r="C182" s="5" t="str">
        <v>Hyderabad</v>
      </c>
      <c r="D182" s="5" t="str">
        <v>IT</v>
      </c>
      <c r="E182" s="5" t="str">
        <v>Software Developer</v>
      </c>
      <c r="F182" s="5">
        <v>0.38055555555555554</v>
      </c>
      <c r="G182" s="5">
        <v>0.77986111111111101</v>
      </c>
      <c r="H182" s="6">
        <f t="shared" si="8"/>
        <v>0.35763888888888878</v>
      </c>
      <c r="I182" s="4" t="str">
        <f t="shared" si="9"/>
        <v>Present</v>
      </c>
      <c r="J182" s="7">
        <f t="shared" si="10"/>
        <v>0</v>
      </c>
      <c r="K182" s="14" t="str">
        <f t="shared" si="11"/>
        <v/>
      </c>
    </row>
    <row r="183" spans="1:11" x14ac:dyDescent="0.3">
      <c r="A183" s="15" t="str">
        <v>EMP270</v>
      </c>
      <c r="B183" s="5" t="str">
        <v>Manoj V</v>
      </c>
      <c r="C183" s="5" t="str">
        <v>Pune</v>
      </c>
      <c r="D183" s="5" t="str">
        <v>IT</v>
      </c>
      <c r="E183" s="5" t="str">
        <v>IT Manager</v>
      </c>
      <c r="F183" s="5">
        <v>0.38680555555555557</v>
      </c>
      <c r="G183" s="5">
        <v>0.78472222222222221</v>
      </c>
      <c r="H183" s="6">
        <f t="shared" si="8"/>
        <v>0.35624999999999996</v>
      </c>
      <c r="I183" s="4" t="str">
        <f t="shared" si="9"/>
        <v>Present</v>
      </c>
      <c r="J183" s="7">
        <f t="shared" si="10"/>
        <v>0</v>
      </c>
      <c r="K183" s="14" t="str">
        <f t="shared" si="11"/>
        <v/>
      </c>
    </row>
    <row r="184" spans="1:11" x14ac:dyDescent="0.3">
      <c r="A184" s="15" t="str">
        <v>EMP285</v>
      </c>
      <c r="B184" s="5" t="str">
        <v>Kishore Kannan</v>
      </c>
      <c r="C184" s="5" t="str">
        <v>Coimbatore</v>
      </c>
      <c r="D184" s="5" t="str">
        <v>IT</v>
      </c>
      <c r="E184" s="5" t="str">
        <v>IT Manager</v>
      </c>
      <c r="F184" s="5">
        <v>0.3923611111111111</v>
      </c>
      <c r="G184" s="5">
        <v>0.79027777777777775</v>
      </c>
      <c r="H184" s="6">
        <f t="shared" si="8"/>
        <v>0.35624999999999996</v>
      </c>
      <c r="I184" s="4" t="str">
        <f t="shared" si="9"/>
        <v>Present</v>
      </c>
      <c r="J184" s="7">
        <f t="shared" si="10"/>
        <v>0</v>
      </c>
      <c r="K184" s="14" t="str">
        <f t="shared" si="11"/>
        <v/>
      </c>
    </row>
    <row r="185" spans="1:11" x14ac:dyDescent="0.3">
      <c r="A185" s="15" t="str">
        <v>EMP294</v>
      </c>
      <c r="B185" s="5" t="str">
        <v>Nithin N</v>
      </c>
      <c r="C185" s="5" t="str">
        <v>Hyderabad</v>
      </c>
      <c r="D185" s="5" t="str">
        <v>IT</v>
      </c>
      <c r="E185" s="5" t="str">
        <v>Network Engineer</v>
      </c>
      <c r="F185" s="5">
        <v>0.39861111111111108</v>
      </c>
      <c r="G185" s="5">
        <v>0.77638888888888891</v>
      </c>
      <c r="H185" s="6">
        <f t="shared" si="8"/>
        <v>0.33611111111111114</v>
      </c>
      <c r="I185" s="4" t="str">
        <f t="shared" si="9"/>
        <v>Late</v>
      </c>
      <c r="J185" s="7">
        <f t="shared" si="10"/>
        <v>2.7777777777777679E-3</v>
      </c>
      <c r="K185" s="14" t="str">
        <f t="shared" si="11"/>
        <v/>
      </c>
    </row>
    <row r="186" spans="1:11" x14ac:dyDescent="0.3">
      <c r="A186" s="15" t="str">
        <v>EMP019</v>
      </c>
      <c r="B186" s="5" t="str">
        <v>Arun N</v>
      </c>
      <c r="C186" s="5" t="str">
        <v>Chennai</v>
      </c>
      <c r="D186" s="5" t="str">
        <v>Maintenance</v>
      </c>
      <c r="E186" s="5" t="str">
        <v>Mechanical Technician</v>
      </c>
      <c r="F186" s="5">
        <v>0.3972222222222222</v>
      </c>
      <c r="G186" s="5">
        <v>0.78541666666666676</v>
      </c>
      <c r="H186" s="6">
        <f t="shared" si="8"/>
        <v>0.34652777777777788</v>
      </c>
      <c r="I186" s="4" t="str">
        <f t="shared" si="9"/>
        <v>Late</v>
      </c>
      <c r="J186" s="7">
        <f t="shared" si="10"/>
        <v>1.388888888888884E-3</v>
      </c>
      <c r="K186" s="14" t="str">
        <f t="shared" si="11"/>
        <v/>
      </c>
    </row>
    <row r="187" spans="1:11" x14ac:dyDescent="0.3">
      <c r="A187" s="15" t="str">
        <v>EMP027</v>
      </c>
      <c r="B187" s="5" t="str">
        <v>Prakash N</v>
      </c>
      <c r="C187" s="5" t="str">
        <v>Ahmedabad</v>
      </c>
      <c r="D187" s="5" t="str">
        <v>Maintenance</v>
      </c>
      <c r="E187" s="5" t="str">
        <v>Electrical Technician</v>
      </c>
      <c r="F187" s="5">
        <v>0.37916666666666665</v>
      </c>
      <c r="G187" s="5">
        <v>0.78888888888888886</v>
      </c>
      <c r="H187" s="6">
        <f t="shared" si="8"/>
        <v>0.36805555555555552</v>
      </c>
      <c r="I187" s="4" t="str">
        <f t="shared" si="9"/>
        <v>Present</v>
      </c>
      <c r="J187" s="7">
        <f t="shared" si="10"/>
        <v>0</v>
      </c>
      <c r="K187" s="14" t="str">
        <f t="shared" si="11"/>
        <v/>
      </c>
    </row>
    <row r="188" spans="1:11" x14ac:dyDescent="0.3">
      <c r="A188" s="15" t="str">
        <v>EMP051</v>
      </c>
      <c r="B188" s="5" t="str">
        <v>Vijay Babu</v>
      </c>
      <c r="C188" s="5" t="str">
        <v>Kochi</v>
      </c>
      <c r="D188" s="5" t="str">
        <v>Maintenance</v>
      </c>
      <c r="E188" s="5" t="str">
        <v>Maintenance Manager</v>
      </c>
      <c r="F188" s="5">
        <v>0.3840277777777778</v>
      </c>
      <c r="G188" s="5">
        <v>0.77083333333333337</v>
      </c>
      <c r="H188" s="6">
        <f t="shared" si="8"/>
        <v>0.34513888888888888</v>
      </c>
      <c r="I188" s="4" t="str">
        <f t="shared" si="9"/>
        <v>Present</v>
      </c>
      <c r="J188" s="7">
        <f t="shared" si="10"/>
        <v>0</v>
      </c>
      <c r="K188" s="14" t="str">
        <f t="shared" si="11"/>
        <v/>
      </c>
    </row>
    <row r="189" spans="1:11" x14ac:dyDescent="0.3">
      <c r="A189" s="15" t="str">
        <v>EMP053</v>
      </c>
      <c r="B189" s="5" t="str">
        <v>Naveen G</v>
      </c>
      <c r="C189" s="5" t="str">
        <v>Kochi</v>
      </c>
      <c r="D189" s="5" t="str">
        <v>Maintenance</v>
      </c>
      <c r="E189" s="5" t="str">
        <v>Maintenance Manager</v>
      </c>
      <c r="F189" s="5">
        <v>0.38125000000000003</v>
      </c>
      <c r="G189" s="5">
        <v>0.77569444444444446</v>
      </c>
      <c r="H189" s="6">
        <f t="shared" si="8"/>
        <v>0.35277777777777775</v>
      </c>
      <c r="I189" s="4" t="str">
        <f t="shared" si="9"/>
        <v>Present</v>
      </c>
      <c r="J189" s="7">
        <f t="shared" si="10"/>
        <v>0</v>
      </c>
      <c r="K189" s="14" t="str">
        <f t="shared" si="11"/>
        <v/>
      </c>
    </row>
    <row r="190" spans="1:11" x14ac:dyDescent="0.3">
      <c r="A190" s="15" t="str">
        <v>EMP058</v>
      </c>
      <c r="B190" s="5" t="str">
        <v>Arun T</v>
      </c>
      <c r="C190" s="5" t="str">
        <v>Chennai</v>
      </c>
      <c r="D190" s="5" t="str">
        <v>Maintenance</v>
      </c>
      <c r="E190" s="5" t="str">
        <v>Maintenance Manager</v>
      </c>
      <c r="F190" s="5">
        <v>0.40347222222222223</v>
      </c>
      <c r="G190" s="5">
        <v>0.78819444444444453</v>
      </c>
      <c r="H190" s="6">
        <f t="shared" si="8"/>
        <v>0.34305555555555561</v>
      </c>
      <c r="I190" s="4" t="str">
        <f t="shared" si="9"/>
        <v>Late</v>
      </c>
      <c r="J190" s="7">
        <f t="shared" si="10"/>
        <v>7.6388888888889173E-3</v>
      </c>
      <c r="K190" s="14" t="str">
        <f t="shared" si="11"/>
        <v/>
      </c>
    </row>
    <row r="191" spans="1:11" x14ac:dyDescent="0.3">
      <c r="A191" s="15" t="str">
        <v>EMP061</v>
      </c>
      <c r="B191" s="5" t="str">
        <v>Kishore P</v>
      </c>
      <c r="C191" s="5" t="str">
        <v>Ahmedabad</v>
      </c>
      <c r="D191" s="5" t="str">
        <v>Maintenance</v>
      </c>
      <c r="E191" s="5" t="str">
        <v>Mechanical Technician</v>
      </c>
      <c r="F191" s="5">
        <v>0.39930555555555558</v>
      </c>
      <c r="G191" s="5">
        <v>0.77569444444444446</v>
      </c>
      <c r="H191" s="6">
        <f t="shared" si="8"/>
        <v>0.3347222222222222</v>
      </c>
      <c r="I191" s="4" t="str">
        <f t="shared" si="9"/>
        <v>Late</v>
      </c>
      <c r="J191" s="7">
        <f t="shared" si="10"/>
        <v>3.4722222222222654E-3</v>
      </c>
      <c r="K191" s="14" t="str">
        <f t="shared" si="11"/>
        <v/>
      </c>
    </row>
    <row r="192" spans="1:11" x14ac:dyDescent="0.3">
      <c r="A192" s="15" t="str">
        <v>EMP063</v>
      </c>
      <c r="B192" s="5" t="str">
        <v>Rahul Kumar</v>
      </c>
      <c r="C192" s="5" t="str">
        <v>Mumbai</v>
      </c>
      <c r="D192" s="5" t="str">
        <v>Maintenance</v>
      </c>
      <c r="E192" s="5" t="str">
        <v>Electrical Technician</v>
      </c>
      <c r="F192" s="5">
        <v>0.3923611111111111</v>
      </c>
      <c r="G192" s="5">
        <v>0.77986111111111101</v>
      </c>
      <c r="H192" s="6">
        <f t="shared" si="8"/>
        <v>0.34583333333333321</v>
      </c>
      <c r="I192" s="4" t="str">
        <f t="shared" si="9"/>
        <v>Present</v>
      </c>
      <c r="J192" s="7">
        <f t="shared" si="10"/>
        <v>0</v>
      </c>
      <c r="K192" s="14" t="str">
        <f t="shared" si="11"/>
        <v/>
      </c>
    </row>
    <row r="193" spans="1:11" x14ac:dyDescent="0.3">
      <c r="A193" s="15" t="str">
        <v>EMP064</v>
      </c>
      <c r="B193" s="5" t="str">
        <v>Ajay V</v>
      </c>
      <c r="C193" s="5" t="str">
        <v>Coimbatore</v>
      </c>
      <c r="D193" s="5" t="str">
        <v>Maintenance</v>
      </c>
      <c r="E193" s="5" t="str">
        <v>Maintenance Manager</v>
      </c>
      <c r="F193" s="5">
        <v>0.3833333333333333</v>
      </c>
      <c r="G193" s="5">
        <v>0.77986111111111101</v>
      </c>
      <c r="H193" s="6">
        <f t="shared" si="8"/>
        <v>0.35486111111111102</v>
      </c>
      <c r="I193" s="4" t="str">
        <f t="shared" si="9"/>
        <v>Present</v>
      </c>
      <c r="J193" s="7">
        <f t="shared" si="10"/>
        <v>0</v>
      </c>
      <c r="K193" s="14" t="str">
        <f t="shared" si="11"/>
        <v/>
      </c>
    </row>
    <row r="194" spans="1:11" x14ac:dyDescent="0.3">
      <c r="A194" s="15" t="str">
        <v>EMP065</v>
      </c>
      <c r="B194" s="5" t="str">
        <v>Rahul P</v>
      </c>
      <c r="C194" s="5" t="str">
        <v>Kochi</v>
      </c>
      <c r="D194" s="5" t="str">
        <v>Maintenance</v>
      </c>
      <c r="E194" s="5" t="str">
        <v>Maintenance Manager</v>
      </c>
      <c r="F194" s="5">
        <v>0.40277777777777773</v>
      </c>
      <c r="G194" s="5">
        <v>0.7895833333333333</v>
      </c>
      <c r="H194" s="6">
        <f t="shared" si="8"/>
        <v>0.34513888888888888</v>
      </c>
      <c r="I194" s="4" t="str">
        <f t="shared" si="9"/>
        <v>Late</v>
      </c>
      <c r="J194" s="7">
        <f t="shared" si="10"/>
        <v>6.9444444444444198E-3</v>
      </c>
      <c r="K194" s="14" t="str">
        <f t="shared" si="11"/>
        <v/>
      </c>
    </row>
    <row r="195" spans="1:11" x14ac:dyDescent="0.3">
      <c r="A195" s="15" t="str">
        <v>EMP075</v>
      </c>
      <c r="B195" s="5" t="str">
        <v>Madhan B</v>
      </c>
      <c r="C195" s="5" t="str">
        <v>Hyderabad</v>
      </c>
      <c r="D195" s="5" t="str">
        <v>Maintenance</v>
      </c>
      <c r="E195" s="5" t="str">
        <v>Maintenance Engineer</v>
      </c>
      <c r="F195" s="5">
        <v>0.39305555555555555</v>
      </c>
      <c r="G195" s="5">
        <v>0.77222222222222225</v>
      </c>
      <c r="H195" s="6">
        <f t="shared" si="8"/>
        <v>0.33750000000000002</v>
      </c>
      <c r="I195" s="4" t="str">
        <f t="shared" si="9"/>
        <v>Present</v>
      </c>
      <c r="J195" s="7">
        <f t="shared" si="10"/>
        <v>0</v>
      </c>
      <c r="K195" s="14" t="str">
        <f t="shared" si="11"/>
        <v/>
      </c>
    </row>
    <row r="196" spans="1:11" x14ac:dyDescent="0.3">
      <c r="A196" s="15" t="str">
        <v>EMP077</v>
      </c>
      <c r="B196" s="5" t="str">
        <v>Mohan Narayanan</v>
      </c>
      <c r="C196" s="5" t="str">
        <v>Bengaluru</v>
      </c>
      <c r="D196" s="5" t="str">
        <v>Maintenance</v>
      </c>
      <c r="E196" s="5" t="str">
        <v>Mechanical Technician</v>
      </c>
      <c r="F196" s="5">
        <v>0.39027777777777778</v>
      </c>
      <c r="G196" s="5">
        <v>0.77083333333333337</v>
      </c>
      <c r="H196" s="6">
        <f t="shared" ref="H196:H259" si="12">IF(OR(F196="",G196=""),0,G196-F196-TIME(1,0,0))</f>
        <v>0.33888888888888891</v>
      </c>
      <c r="I196" s="4" t="str">
        <f t="shared" ref="I196:I259" si="13">IF(F196="","Absent",IF(F196&gt;TIME(9,30,0),"Late","Present"))</f>
        <v>Present</v>
      </c>
      <c r="J196" s="7">
        <f t="shared" ref="J196:J259" si="14">IF(F196="","",IF(F196&lt;=TIME(9,30,0),0,F196-TIME(9,30,0)))</f>
        <v>0</v>
      </c>
      <c r="K196" s="14" t="str">
        <f t="shared" ref="K196:K259" si="15">IF(AND(F196&lt;&gt;"",G196=""),"On Duty","")</f>
        <v/>
      </c>
    </row>
    <row r="197" spans="1:11" x14ac:dyDescent="0.3">
      <c r="A197" s="15" t="str">
        <v>EMP086</v>
      </c>
      <c r="B197" s="5" t="str">
        <v>Naveen B</v>
      </c>
      <c r="C197" s="5" t="str">
        <v>Noida</v>
      </c>
      <c r="D197" s="5" t="str">
        <v>Maintenance</v>
      </c>
      <c r="E197" s="5" t="str">
        <v>Electrical Technician</v>
      </c>
      <c r="F197" s="5">
        <v>0.39999999999999997</v>
      </c>
      <c r="G197" s="5">
        <v>0.78194444444444444</v>
      </c>
      <c r="H197" s="6">
        <f t="shared" si="12"/>
        <v>0.34027777777777779</v>
      </c>
      <c r="I197" s="4" t="str">
        <f t="shared" si="13"/>
        <v>Late</v>
      </c>
      <c r="J197" s="7">
        <f t="shared" si="14"/>
        <v>4.1666666666666519E-3</v>
      </c>
      <c r="K197" s="14" t="str">
        <f t="shared" si="15"/>
        <v/>
      </c>
    </row>
    <row r="198" spans="1:11" x14ac:dyDescent="0.3">
      <c r="A198" s="15" t="str">
        <v>EMP087</v>
      </c>
      <c r="B198" s="5" t="str">
        <v>Suresh Kumar</v>
      </c>
      <c r="C198" s="5" t="str">
        <v>Pune</v>
      </c>
      <c r="D198" s="5" t="str">
        <v>Maintenance</v>
      </c>
      <c r="E198" s="5" t="str">
        <v>Maintenance Manager</v>
      </c>
      <c r="F198" s="5">
        <v>0.3979166666666667</v>
      </c>
      <c r="G198" s="5">
        <v>0.77430555555555547</v>
      </c>
      <c r="H198" s="6">
        <f t="shared" si="12"/>
        <v>0.33472222222222209</v>
      </c>
      <c r="I198" s="4" t="str">
        <f t="shared" si="13"/>
        <v>Late</v>
      </c>
      <c r="J198" s="7">
        <f t="shared" si="14"/>
        <v>2.0833333333333814E-3</v>
      </c>
      <c r="K198" s="14" t="str">
        <f t="shared" si="15"/>
        <v/>
      </c>
    </row>
    <row r="199" spans="1:11" x14ac:dyDescent="0.3">
      <c r="A199" s="15" t="str">
        <v>EMP089</v>
      </c>
      <c r="B199" s="5" t="str">
        <v>Vinoth G</v>
      </c>
      <c r="C199" s="5" t="str">
        <v>Bengaluru</v>
      </c>
      <c r="D199" s="5" t="str">
        <v>Maintenance</v>
      </c>
      <c r="E199" s="5" t="str">
        <v>Maintenance Manager</v>
      </c>
      <c r="F199" s="5">
        <v>0.39930555555555558</v>
      </c>
      <c r="G199" s="5">
        <v>0.78680555555555554</v>
      </c>
      <c r="H199" s="6">
        <f t="shared" si="12"/>
        <v>0.34583333333333327</v>
      </c>
      <c r="I199" s="4" t="str">
        <f t="shared" si="13"/>
        <v>Late</v>
      </c>
      <c r="J199" s="7">
        <f t="shared" si="14"/>
        <v>3.4722222222222654E-3</v>
      </c>
      <c r="K199" s="14" t="str">
        <f t="shared" si="15"/>
        <v/>
      </c>
    </row>
    <row r="200" spans="1:11" x14ac:dyDescent="0.3">
      <c r="A200" s="15" t="str">
        <v>EMP113</v>
      </c>
      <c r="B200" s="5" t="str">
        <v>Sanjay N</v>
      </c>
      <c r="C200" s="5" t="str">
        <v>Noida</v>
      </c>
      <c r="D200" s="5" t="str">
        <v>Maintenance</v>
      </c>
      <c r="E200" s="5" t="str">
        <v>Mechanical Technician</v>
      </c>
      <c r="F200" s="5">
        <v>0.3979166666666667</v>
      </c>
      <c r="G200" s="5">
        <v>0.77847222222222223</v>
      </c>
      <c r="H200" s="6">
        <f t="shared" si="12"/>
        <v>0.33888888888888885</v>
      </c>
      <c r="I200" s="4" t="str">
        <f t="shared" si="13"/>
        <v>Late</v>
      </c>
      <c r="J200" s="7">
        <f t="shared" si="14"/>
        <v>2.0833333333333814E-3</v>
      </c>
      <c r="K200" s="14" t="str">
        <f t="shared" si="15"/>
        <v/>
      </c>
    </row>
    <row r="201" spans="1:11" x14ac:dyDescent="0.3">
      <c r="A201" s="15" t="str">
        <v>EMP130</v>
      </c>
      <c r="B201" s="5" t="str">
        <v>Sanjay Babu</v>
      </c>
      <c r="C201" s="5" t="str">
        <v>Mumbai</v>
      </c>
      <c r="D201" s="5" t="str">
        <v>Maintenance</v>
      </c>
      <c r="E201" s="5" t="str">
        <v>Maintenance Manager</v>
      </c>
      <c r="F201" s="5">
        <v>0.38125000000000003</v>
      </c>
      <c r="G201" s="5">
        <v>0.78125</v>
      </c>
      <c r="H201" s="6">
        <f t="shared" si="12"/>
        <v>0.35833333333333328</v>
      </c>
      <c r="I201" s="4" t="str">
        <f t="shared" si="13"/>
        <v>Present</v>
      </c>
      <c r="J201" s="7">
        <f t="shared" si="14"/>
        <v>0</v>
      </c>
      <c r="K201" s="14" t="str">
        <f t="shared" si="15"/>
        <v/>
      </c>
    </row>
    <row r="202" spans="1:11" x14ac:dyDescent="0.3">
      <c r="A202" s="15" t="str">
        <v>EMP133</v>
      </c>
      <c r="B202" s="5" t="str">
        <v>Madhan Prasad</v>
      </c>
      <c r="C202" s="5" t="str">
        <v>Mumbai</v>
      </c>
      <c r="D202" s="5" t="str">
        <v>Maintenance</v>
      </c>
      <c r="E202" s="5" t="str">
        <v>Mechanical Technician</v>
      </c>
      <c r="F202" s="5">
        <v>0.39999999999999997</v>
      </c>
      <c r="G202" s="5">
        <v>0.77777777777777779</v>
      </c>
      <c r="H202" s="6">
        <f t="shared" si="12"/>
        <v>0.33611111111111114</v>
      </c>
      <c r="I202" s="4" t="str">
        <f t="shared" si="13"/>
        <v>Late</v>
      </c>
      <c r="J202" s="7">
        <f t="shared" si="14"/>
        <v>4.1666666666666519E-3</v>
      </c>
      <c r="K202" s="14" t="str">
        <f t="shared" si="15"/>
        <v/>
      </c>
    </row>
    <row r="203" spans="1:11" x14ac:dyDescent="0.3">
      <c r="A203" s="15" t="str">
        <v>EMP145</v>
      </c>
      <c r="B203" s="5" t="str">
        <v>Naveen N</v>
      </c>
      <c r="C203" s="5" t="str">
        <v>Coimbatore</v>
      </c>
      <c r="D203" s="5" t="str">
        <v>Maintenance</v>
      </c>
      <c r="E203" s="5" t="str">
        <v>Electrical Technician</v>
      </c>
      <c r="F203" s="5">
        <v>0.37777777777777777</v>
      </c>
      <c r="G203" s="5">
        <v>0.78194444444444444</v>
      </c>
      <c r="H203" s="6">
        <f t="shared" si="12"/>
        <v>0.36249999999999999</v>
      </c>
      <c r="I203" s="4" t="str">
        <f t="shared" si="13"/>
        <v>Present</v>
      </c>
      <c r="J203" s="7">
        <f t="shared" si="14"/>
        <v>0</v>
      </c>
      <c r="K203" s="14" t="str">
        <f t="shared" si="15"/>
        <v/>
      </c>
    </row>
    <row r="204" spans="1:11" x14ac:dyDescent="0.3">
      <c r="A204" s="15" t="str">
        <v>EMP154</v>
      </c>
      <c r="B204" s="5" t="str">
        <v>Yuvaraj Raj</v>
      </c>
      <c r="C204" s="5" t="str">
        <v>Coimbatore</v>
      </c>
      <c r="D204" s="5" t="str">
        <v>Maintenance</v>
      </c>
      <c r="E204" s="5" t="str">
        <v>Maintenance Supervisor</v>
      </c>
      <c r="F204" s="5">
        <v>0.40208333333333335</v>
      </c>
      <c r="G204" s="5">
        <v>0.77708333333333324</v>
      </c>
      <c r="H204" s="6">
        <f t="shared" si="12"/>
        <v>0.3333333333333332</v>
      </c>
      <c r="I204" s="4" t="str">
        <f t="shared" si="13"/>
        <v>Late</v>
      </c>
      <c r="J204" s="7">
        <f t="shared" si="14"/>
        <v>6.2500000000000333E-3</v>
      </c>
      <c r="K204" s="14" t="str">
        <f t="shared" si="15"/>
        <v/>
      </c>
    </row>
    <row r="205" spans="1:11" x14ac:dyDescent="0.3">
      <c r="A205" s="15" t="str">
        <v>EMP180</v>
      </c>
      <c r="B205" s="5" t="str">
        <v>Ramesh Kannan</v>
      </c>
      <c r="C205" s="5" t="str">
        <v>Ahmedabad</v>
      </c>
      <c r="D205" s="5" t="str">
        <v>Maintenance</v>
      </c>
      <c r="E205" s="5" t="str">
        <v>Maintenance Supervisor</v>
      </c>
      <c r="F205" s="5">
        <v>0.3756944444444445</v>
      </c>
      <c r="G205" s="5">
        <v>0.78333333333333333</v>
      </c>
      <c r="H205" s="6">
        <f t="shared" si="12"/>
        <v>0.36597222222222214</v>
      </c>
      <c r="I205" s="4" t="str">
        <f t="shared" si="13"/>
        <v>Present</v>
      </c>
      <c r="J205" s="7">
        <f t="shared" si="14"/>
        <v>0</v>
      </c>
      <c r="K205" s="14" t="str">
        <f t="shared" si="15"/>
        <v/>
      </c>
    </row>
    <row r="206" spans="1:11" x14ac:dyDescent="0.3">
      <c r="A206" s="15" t="str">
        <v>EMP188</v>
      </c>
      <c r="B206" s="5" t="str">
        <v>Dinesh N</v>
      </c>
      <c r="C206" s="5" t="str">
        <v>Kochi</v>
      </c>
      <c r="D206" s="5" t="str">
        <v>Maintenance</v>
      </c>
      <c r="E206" s="5" t="str">
        <v>Maintenance Manager</v>
      </c>
      <c r="F206" s="5">
        <v>0.38680555555555557</v>
      </c>
      <c r="G206" s="5">
        <v>0.78680555555555554</v>
      </c>
      <c r="H206" s="6">
        <f t="shared" si="12"/>
        <v>0.35833333333333328</v>
      </c>
      <c r="I206" s="4" t="str">
        <f t="shared" si="13"/>
        <v>Present</v>
      </c>
      <c r="J206" s="7">
        <f t="shared" si="14"/>
        <v>0</v>
      </c>
      <c r="K206" s="14" t="str">
        <f t="shared" si="15"/>
        <v/>
      </c>
    </row>
    <row r="207" spans="1:11" x14ac:dyDescent="0.3">
      <c r="A207" s="15" t="str">
        <v>EMP209</v>
      </c>
      <c r="B207" s="5" t="str">
        <v>Deepak B</v>
      </c>
      <c r="C207" s="5" t="str">
        <v>Kochi</v>
      </c>
      <c r="D207" s="5" t="str">
        <v>Maintenance</v>
      </c>
      <c r="E207" s="5" t="str">
        <v>Mechanical Technician</v>
      </c>
      <c r="F207" s="5">
        <v>0.37916666666666665</v>
      </c>
      <c r="G207" s="5">
        <v>0.79027777777777775</v>
      </c>
      <c r="H207" s="6">
        <f t="shared" si="12"/>
        <v>0.36944444444444441</v>
      </c>
      <c r="I207" s="4" t="str">
        <f t="shared" si="13"/>
        <v>Present</v>
      </c>
      <c r="J207" s="7">
        <f t="shared" si="14"/>
        <v>0</v>
      </c>
      <c r="K207" s="14" t="str">
        <f t="shared" si="15"/>
        <v/>
      </c>
    </row>
    <row r="208" spans="1:11" x14ac:dyDescent="0.3">
      <c r="A208" s="15" t="str">
        <v>EMP223</v>
      </c>
      <c r="B208" s="5" t="str">
        <v>Prakash R</v>
      </c>
      <c r="C208" s="5" t="str">
        <v>Noida</v>
      </c>
      <c r="D208" s="5" t="str">
        <v>Maintenance</v>
      </c>
      <c r="E208" s="5" t="str">
        <v>Maintenance Supervisor</v>
      </c>
      <c r="F208" s="5">
        <v>0.3756944444444445</v>
      </c>
      <c r="G208" s="5">
        <v>0.77222222222222225</v>
      </c>
      <c r="H208" s="6">
        <f t="shared" si="12"/>
        <v>0.35486111111111107</v>
      </c>
      <c r="I208" s="4" t="str">
        <f t="shared" si="13"/>
        <v>Present</v>
      </c>
      <c r="J208" s="7">
        <f t="shared" si="14"/>
        <v>0</v>
      </c>
      <c r="K208" s="14" t="str">
        <f t="shared" si="15"/>
        <v/>
      </c>
    </row>
    <row r="209" spans="1:11" x14ac:dyDescent="0.3">
      <c r="A209" s="15" t="str">
        <v>EMP231</v>
      </c>
      <c r="B209" s="5" t="str">
        <v>Ganesh R</v>
      </c>
      <c r="C209" s="5" t="str">
        <v>Chennai</v>
      </c>
      <c r="D209" s="5" t="str">
        <v>Maintenance</v>
      </c>
      <c r="E209" s="5" t="str">
        <v>Maintenance Engineer</v>
      </c>
      <c r="F209" s="5">
        <v>0.40416666666666662</v>
      </c>
      <c r="G209" s="5">
        <v>0.78333333333333333</v>
      </c>
      <c r="H209" s="6">
        <f t="shared" si="12"/>
        <v>0.33750000000000002</v>
      </c>
      <c r="I209" s="4" t="str">
        <f t="shared" si="13"/>
        <v>Late</v>
      </c>
      <c r="J209" s="7">
        <f t="shared" si="14"/>
        <v>8.3333333333333037E-3</v>
      </c>
      <c r="K209" s="14" t="str">
        <f t="shared" si="15"/>
        <v/>
      </c>
    </row>
    <row r="210" spans="1:11" x14ac:dyDescent="0.3">
      <c r="A210" s="15" t="str">
        <v>EMP250</v>
      </c>
      <c r="B210" s="5" t="str">
        <v>Bharath T</v>
      </c>
      <c r="C210" s="5" t="str">
        <v>Pune</v>
      </c>
      <c r="D210" s="5" t="str">
        <v>Maintenance</v>
      </c>
      <c r="E210" s="5" t="str">
        <v>Maintenance Manager</v>
      </c>
      <c r="F210" s="5">
        <v>0.3979166666666667</v>
      </c>
      <c r="G210" s="5">
        <v>0.78819444444444453</v>
      </c>
      <c r="H210" s="6">
        <f t="shared" si="12"/>
        <v>0.34861111111111115</v>
      </c>
      <c r="I210" s="4" t="str">
        <f t="shared" si="13"/>
        <v>Late</v>
      </c>
      <c r="J210" s="7">
        <f t="shared" si="14"/>
        <v>2.0833333333333814E-3</v>
      </c>
      <c r="K210" s="14" t="str">
        <f t="shared" si="15"/>
        <v/>
      </c>
    </row>
    <row r="211" spans="1:11" x14ac:dyDescent="0.3">
      <c r="A211" s="15" t="str">
        <v>EMP252</v>
      </c>
      <c r="B211" s="5" t="str">
        <v>Yuvaraj Selvam</v>
      </c>
      <c r="C211" s="5" t="str">
        <v>Hyderabad</v>
      </c>
      <c r="D211" s="5" t="str">
        <v>Maintenance</v>
      </c>
      <c r="E211" s="5" t="str">
        <v>Maintenance Supervisor</v>
      </c>
      <c r="F211" s="5">
        <v>0.39027777777777778</v>
      </c>
      <c r="G211" s="5">
        <v>0.78263888888888899</v>
      </c>
      <c r="H211" s="6">
        <f t="shared" si="12"/>
        <v>0.35069444444444453</v>
      </c>
      <c r="I211" s="4" t="str">
        <f t="shared" si="13"/>
        <v>Present</v>
      </c>
      <c r="J211" s="7">
        <f t="shared" si="14"/>
        <v>0</v>
      </c>
      <c r="K211" s="14" t="str">
        <f t="shared" si="15"/>
        <v/>
      </c>
    </row>
    <row r="212" spans="1:11" x14ac:dyDescent="0.3">
      <c r="A212" s="15" t="str">
        <v>EMP255</v>
      </c>
      <c r="B212" s="5" t="str">
        <v>Manoj Kannan</v>
      </c>
      <c r="C212" s="5" t="str">
        <v>Bengaluru</v>
      </c>
      <c r="D212" s="5" t="str">
        <v>Maintenance</v>
      </c>
      <c r="E212" s="5" t="str">
        <v>Electrical Technician</v>
      </c>
      <c r="F212" s="5">
        <v>0.40277777777777773</v>
      </c>
      <c r="G212" s="5">
        <v>0.77222222222222225</v>
      </c>
      <c r="H212" s="6">
        <f t="shared" si="12"/>
        <v>0.32777777777777783</v>
      </c>
      <c r="I212" s="4" t="str">
        <f t="shared" si="13"/>
        <v>Late</v>
      </c>
      <c r="J212" s="7">
        <f t="shared" si="14"/>
        <v>6.9444444444444198E-3</v>
      </c>
      <c r="K212" s="14" t="str">
        <f t="shared" si="15"/>
        <v/>
      </c>
    </row>
    <row r="213" spans="1:11" x14ac:dyDescent="0.3">
      <c r="A213" s="15" t="str">
        <v>EMP268</v>
      </c>
      <c r="B213" s="5" t="str">
        <v>Karthik Kannan</v>
      </c>
      <c r="C213" s="5" t="str">
        <v>Mumbai</v>
      </c>
      <c r="D213" s="5" t="str">
        <v>Maintenance</v>
      </c>
      <c r="E213" s="5" t="str">
        <v>Electrical Technician</v>
      </c>
      <c r="F213" s="5">
        <v>0.38055555555555554</v>
      </c>
      <c r="G213" s="5">
        <v>0.78819444444444453</v>
      </c>
      <c r="H213" s="6">
        <f t="shared" si="12"/>
        <v>0.36597222222222231</v>
      </c>
      <c r="I213" s="4" t="str">
        <f t="shared" si="13"/>
        <v>Present</v>
      </c>
      <c r="J213" s="7">
        <f t="shared" si="14"/>
        <v>0</v>
      </c>
      <c r="K213" s="14" t="str">
        <f t="shared" si="15"/>
        <v/>
      </c>
    </row>
    <row r="214" spans="1:11" x14ac:dyDescent="0.3">
      <c r="A214" s="15" t="str">
        <v>EMP273</v>
      </c>
      <c r="B214" s="5" t="str">
        <v>Nithin Babu</v>
      </c>
      <c r="C214" s="5" t="str">
        <v>Noida</v>
      </c>
      <c r="D214" s="5" t="str">
        <v>Maintenance</v>
      </c>
      <c r="E214" s="5" t="str">
        <v>Maintenance Supervisor</v>
      </c>
      <c r="F214" s="5">
        <v>0.40416666666666662</v>
      </c>
      <c r="G214" s="5">
        <v>0.77361111111111114</v>
      </c>
      <c r="H214" s="6">
        <f t="shared" si="12"/>
        <v>0.32777777777777783</v>
      </c>
      <c r="I214" s="4" t="str">
        <f t="shared" si="13"/>
        <v>Late</v>
      </c>
      <c r="J214" s="7">
        <f t="shared" si="14"/>
        <v>8.3333333333333037E-3</v>
      </c>
      <c r="K214" s="14" t="str">
        <f t="shared" si="15"/>
        <v/>
      </c>
    </row>
    <row r="215" spans="1:11" x14ac:dyDescent="0.3">
      <c r="A215" s="15" t="str">
        <v>EMP276</v>
      </c>
      <c r="B215" s="5" t="str">
        <v>Madhan Murugan</v>
      </c>
      <c r="C215" s="5" t="str">
        <v>Coimbatore</v>
      </c>
      <c r="D215" s="5" t="str">
        <v>Maintenance</v>
      </c>
      <c r="E215" s="5" t="str">
        <v>Maintenance Engineer</v>
      </c>
      <c r="F215" s="5">
        <v>0.3888888888888889</v>
      </c>
      <c r="G215" s="5">
        <v>0.78888888888888886</v>
      </c>
      <c r="H215" s="6">
        <f t="shared" si="12"/>
        <v>0.35833333333333328</v>
      </c>
      <c r="I215" s="4" t="str">
        <f t="shared" si="13"/>
        <v>Present</v>
      </c>
      <c r="J215" s="7">
        <f t="shared" si="14"/>
        <v>0</v>
      </c>
      <c r="K215" s="14" t="str">
        <f t="shared" si="15"/>
        <v/>
      </c>
    </row>
    <row r="216" spans="1:11" x14ac:dyDescent="0.3">
      <c r="A216" s="15" t="str">
        <v>EMP278</v>
      </c>
      <c r="B216" s="5" t="str">
        <v>Praveen Krishnan</v>
      </c>
      <c r="C216" s="5" t="str">
        <v>Delhi</v>
      </c>
      <c r="D216" s="5" t="str">
        <v>Maintenance</v>
      </c>
      <c r="E216" s="5" t="str">
        <v>Mechanical Technician</v>
      </c>
      <c r="F216" s="5">
        <v>0.39166666666666666</v>
      </c>
      <c r="G216" s="5">
        <v>0.78680555555555554</v>
      </c>
      <c r="H216" s="6">
        <f t="shared" si="12"/>
        <v>0.35347222222222219</v>
      </c>
      <c r="I216" s="4" t="str">
        <f t="shared" si="13"/>
        <v>Present</v>
      </c>
      <c r="J216" s="7">
        <f t="shared" si="14"/>
        <v>0</v>
      </c>
      <c r="K216" s="14" t="str">
        <f t="shared" si="15"/>
        <v/>
      </c>
    </row>
    <row r="217" spans="1:11" x14ac:dyDescent="0.3">
      <c r="A217" s="15" t="str">
        <v>EMP279</v>
      </c>
      <c r="B217" s="5" t="str">
        <v>Dinesh P</v>
      </c>
      <c r="C217" s="5" t="str">
        <v>Chennai</v>
      </c>
      <c r="D217" s="5" t="str">
        <v>Maintenance</v>
      </c>
      <c r="E217" s="5" t="str">
        <v>Maintenance Supervisor</v>
      </c>
      <c r="F217" s="5">
        <v>0.39513888888888887</v>
      </c>
      <c r="G217" s="5">
        <v>0.78263888888888899</v>
      </c>
      <c r="H217" s="6">
        <f t="shared" si="12"/>
        <v>0.34583333333333344</v>
      </c>
      <c r="I217" s="4" t="str">
        <f t="shared" si="13"/>
        <v>Present</v>
      </c>
      <c r="J217" s="7">
        <f t="shared" si="14"/>
        <v>0</v>
      </c>
      <c r="K217" s="14" t="str">
        <f t="shared" si="15"/>
        <v/>
      </c>
    </row>
    <row r="218" spans="1:11" x14ac:dyDescent="0.3">
      <c r="A218" s="15" t="str">
        <v>EMP287</v>
      </c>
      <c r="B218" s="5" t="str">
        <v>Arun Kumar</v>
      </c>
      <c r="C218" s="5" t="str">
        <v>Delhi</v>
      </c>
      <c r="D218" s="5" t="str">
        <v>Maintenance</v>
      </c>
      <c r="E218" s="5" t="str">
        <v>Maintenance Engineer</v>
      </c>
      <c r="F218" s="5">
        <v>0.38680555555555557</v>
      </c>
      <c r="G218" s="5">
        <v>0.78333333333333333</v>
      </c>
      <c r="H218" s="6">
        <f t="shared" si="12"/>
        <v>0.35486111111111107</v>
      </c>
      <c r="I218" s="4" t="str">
        <f t="shared" si="13"/>
        <v>Present</v>
      </c>
      <c r="J218" s="7">
        <f t="shared" si="14"/>
        <v>0</v>
      </c>
      <c r="K218" s="14" t="str">
        <f t="shared" si="15"/>
        <v/>
      </c>
    </row>
    <row r="219" spans="1:11" x14ac:dyDescent="0.3">
      <c r="A219" s="15" t="str">
        <v>EMP292</v>
      </c>
      <c r="B219" s="5" t="str">
        <v>Suresh Murugan</v>
      </c>
      <c r="C219" s="5" t="str">
        <v>Hyderabad</v>
      </c>
      <c r="D219" s="5" t="str">
        <v>Maintenance</v>
      </c>
      <c r="E219" s="5" t="str">
        <v>Maintenance Supervisor</v>
      </c>
      <c r="F219" s="5">
        <v>0.40347222222222223</v>
      </c>
      <c r="G219" s="5">
        <v>0.7895833333333333</v>
      </c>
      <c r="H219" s="6">
        <f t="shared" si="12"/>
        <v>0.34444444444444439</v>
      </c>
      <c r="I219" s="4" t="str">
        <f t="shared" si="13"/>
        <v>Late</v>
      </c>
      <c r="J219" s="7">
        <f t="shared" si="14"/>
        <v>7.6388888888889173E-3</v>
      </c>
      <c r="K219" s="14" t="str">
        <f t="shared" si="15"/>
        <v/>
      </c>
    </row>
    <row r="220" spans="1:11" x14ac:dyDescent="0.3">
      <c r="A220" s="15" t="str">
        <v>EMP293</v>
      </c>
      <c r="B220" s="5" t="str">
        <v>Rahul K</v>
      </c>
      <c r="C220" s="5" t="str">
        <v>Delhi</v>
      </c>
      <c r="D220" s="5" t="str">
        <v>Maintenance</v>
      </c>
      <c r="E220" s="5" t="str">
        <v>Maintenance Engineer</v>
      </c>
      <c r="F220" s="5">
        <v>0.39861111111111108</v>
      </c>
      <c r="G220" s="5">
        <v>0.7729166666666667</v>
      </c>
      <c r="H220" s="6">
        <f t="shared" si="12"/>
        <v>0.33263888888888893</v>
      </c>
      <c r="I220" s="4" t="str">
        <f t="shared" si="13"/>
        <v>Late</v>
      </c>
      <c r="J220" s="7">
        <f t="shared" si="14"/>
        <v>2.7777777777777679E-3</v>
      </c>
      <c r="K220" s="14" t="str">
        <f t="shared" si="15"/>
        <v/>
      </c>
    </row>
    <row r="221" spans="1:11" x14ac:dyDescent="0.3">
      <c r="A221" s="15" t="str">
        <v>EMP300</v>
      </c>
      <c r="B221" s="5" t="str">
        <v>Ganesh Narayanan</v>
      </c>
      <c r="C221" s="5" t="str">
        <v>Hyderabad</v>
      </c>
      <c r="D221" s="5" t="str">
        <v>Maintenance</v>
      </c>
      <c r="E221" s="5" t="str">
        <v>Maintenance Supervisor</v>
      </c>
      <c r="F221" s="5"/>
      <c r="G221" s="5"/>
      <c r="H221" s="6">
        <f t="shared" si="12"/>
        <v>0</v>
      </c>
      <c r="I221" s="4" t="str">
        <f t="shared" si="13"/>
        <v>Absent</v>
      </c>
      <c r="J221" s="7" t="str">
        <f t="shared" si="14"/>
        <v/>
      </c>
      <c r="K221" s="14" t="str">
        <f t="shared" si="15"/>
        <v/>
      </c>
    </row>
    <row r="222" spans="1:11" x14ac:dyDescent="0.3">
      <c r="A222" s="15" t="str">
        <v>EMP010</v>
      </c>
      <c r="B222" s="5" t="str">
        <v>Sanjay G</v>
      </c>
      <c r="C222" s="5" t="str">
        <v>Delhi</v>
      </c>
      <c r="D222" s="5" t="str">
        <v>Procurement</v>
      </c>
      <c r="E222" s="5" t="str">
        <v>Buyer</v>
      </c>
      <c r="F222" s="5">
        <v>0.4055555555555555</v>
      </c>
      <c r="G222" s="5">
        <v>0.78125</v>
      </c>
      <c r="H222" s="6">
        <f t="shared" si="12"/>
        <v>0.33402777777777781</v>
      </c>
      <c r="I222" s="4" t="str">
        <f t="shared" si="13"/>
        <v>Late</v>
      </c>
      <c r="J222" s="7">
        <f t="shared" si="14"/>
        <v>9.7222222222221877E-3</v>
      </c>
      <c r="K222" s="14" t="str">
        <f t="shared" si="15"/>
        <v/>
      </c>
    </row>
    <row r="223" spans="1:11" x14ac:dyDescent="0.3">
      <c r="A223" s="15" t="str">
        <v>EMP016</v>
      </c>
      <c r="B223" s="5" t="str">
        <v>Lokesh R</v>
      </c>
      <c r="C223" s="5" t="str">
        <v>Delhi</v>
      </c>
      <c r="D223" s="5" t="str">
        <v>Procurement</v>
      </c>
      <c r="E223" s="5" t="str">
        <v>Sourcing Executive</v>
      </c>
      <c r="F223" s="5">
        <v>0.37777777777777777</v>
      </c>
      <c r="G223" s="5">
        <v>0.78402777777777777</v>
      </c>
      <c r="H223" s="6">
        <f t="shared" si="12"/>
        <v>0.36458333333333331</v>
      </c>
      <c r="I223" s="4" t="str">
        <f t="shared" si="13"/>
        <v>Present</v>
      </c>
      <c r="J223" s="7">
        <f t="shared" si="14"/>
        <v>0</v>
      </c>
      <c r="K223" s="14" t="str">
        <f t="shared" si="15"/>
        <v/>
      </c>
    </row>
    <row r="224" spans="1:11" x14ac:dyDescent="0.3">
      <c r="A224" s="15" t="str">
        <v>EMP026</v>
      </c>
      <c r="B224" s="5" t="str">
        <v>Arun Murugan</v>
      </c>
      <c r="C224" s="5" t="str">
        <v>Chennai</v>
      </c>
      <c r="D224" s="5" t="str">
        <v>Procurement</v>
      </c>
      <c r="E224" s="5" t="str">
        <v>Purchase Executive</v>
      </c>
      <c r="F224" s="5">
        <v>0.3833333333333333</v>
      </c>
      <c r="G224" s="5">
        <v>0.78472222222222221</v>
      </c>
      <c r="H224" s="6">
        <f t="shared" si="12"/>
        <v>0.35972222222222222</v>
      </c>
      <c r="I224" s="4" t="str">
        <f t="shared" si="13"/>
        <v>Present</v>
      </c>
      <c r="J224" s="7">
        <f t="shared" si="14"/>
        <v>0</v>
      </c>
      <c r="K224" s="14" t="str">
        <f t="shared" si="15"/>
        <v/>
      </c>
    </row>
    <row r="225" spans="1:11" x14ac:dyDescent="0.3">
      <c r="A225" s="15" t="str">
        <v>EMP037</v>
      </c>
      <c r="B225" s="5" t="str">
        <v>Kishore Murugan</v>
      </c>
      <c r="C225" s="5" t="str">
        <v>Mumbai</v>
      </c>
      <c r="D225" s="5" t="str">
        <v>Procurement</v>
      </c>
      <c r="E225" s="5" t="str">
        <v>Procurement Manager</v>
      </c>
      <c r="F225" s="5">
        <v>0.39583333333333331</v>
      </c>
      <c r="G225" s="5">
        <v>0.78263888888888899</v>
      </c>
      <c r="H225" s="6">
        <f t="shared" si="12"/>
        <v>0.34513888888888899</v>
      </c>
      <c r="I225" s="4" t="str">
        <f t="shared" si="13"/>
        <v>Present</v>
      </c>
      <c r="J225" s="7">
        <f t="shared" si="14"/>
        <v>0</v>
      </c>
      <c r="K225" s="14" t="str">
        <f t="shared" si="15"/>
        <v/>
      </c>
    </row>
    <row r="226" spans="1:11" x14ac:dyDescent="0.3">
      <c r="A226" s="15" t="str">
        <v>EMP047</v>
      </c>
      <c r="B226" s="5" t="str">
        <v>Yuvaraj Raja</v>
      </c>
      <c r="C226" s="5" t="str">
        <v>Delhi</v>
      </c>
      <c r="D226" s="5" t="str">
        <v>Procurement</v>
      </c>
      <c r="E226" s="5" t="str">
        <v>Buyer</v>
      </c>
      <c r="F226" s="5">
        <v>0.38263888888888892</v>
      </c>
      <c r="G226" s="5">
        <v>0.79027777777777775</v>
      </c>
      <c r="H226" s="6">
        <f t="shared" si="12"/>
        <v>0.36597222222222214</v>
      </c>
      <c r="I226" s="4" t="str">
        <f t="shared" si="13"/>
        <v>Present</v>
      </c>
      <c r="J226" s="7">
        <f t="shared" si="14"/>
        <v>0</v>
      </c>
      <c r="K226" s="14" t="str">
        <f t="shared" si="15"/>
        <v/>
      </c>
    </row>
    <row r="227" spans="1:11" x14ac:dyDescent="0.3">
      <c r="A227" s="15" t="str">
        <v>EMP059</v>
      </c>
      <c r="B227" s="5" t="str">
        <v>Ashwin Selvam</v>
      </c>
      <c r="C227" s="5" t="str">
        <v>Mumbai</v>
      </c>
      <c r="D227" s="5" t="str">
        <v>Procurement</v>
      </c>
      <c r="E227" s="5" t="str">
        <v>Buyer</v>
      </c>
      <c r="F227" s="5">
        <v>0.39861111111111108</v>
      </c>
      <c r="G227" s="5">
        <v>0.7715277777777777</v>
      </c>
      <c r="H227" s="6">
        <f t="shared" si="12"/>
        <v>0.33124999999999993</v>
      </c>
      <c r="I227" s="4" t="str">
        <f t="shared" si="13"/>
        <v>Late</v>
      </c>
      <c r="J227" s="7">
        <f t="shared" si="14"/>
        <v>2.7777777777777679E-3</v>
      </c>
      <c r="K227" s="14" t="str">
        <f t="shared" si="15"/>
        <v/>
      </c>
    </row>
    <row r="228" spans="1:11" x14ac:dyDescent="0.3">
      <c r="A228" s="15" t="str">
        <v>EMP103</v>
      </c>
      <c r="B228" s="5" t="str">
        <v>Kishore G</v>
      </c>
      <c r="C228" s="5" t="str">
        <v>Noida</v>
      </c>
      <c r="D228" s="5" t="str">
        <v>Procurement</v>
      </c>
      <c r="E228" s="5" t="str">
        <v>Procurement Manager</v>
      </c>
      <c r="F228" s="5">
        <v>0.39374999999999999</v>
      </c>
      <c r="G228" s="5">
        <v>0.78125</v>
      </c>
      <c r="H228" s="6">
        <f t="shared" si="12"/>
        <v>0.34583333333333333</v>
      </c>
      <c r="I228" s="4" t="str">
        <f t="shared" si="13"/>
        <v>Present</v>
      </c>
      <c r="J228" s="7">
        <f t="shared" si="14"/>
        <v>0</v>
      </c>
      <c r="K228" s="14" t="str">
        <f t="shared" si="15"/>
        <v/>
      </c>
    </row>
    <row r="229" spans="1:11" x14ac:dyDescent="0.3">
      <c r="A229" s="15" t="str">
        <v>EMP126</v>
      </c>
      <c r="B229" s="5" t="str">
        <v>Saravanan B</v>
      </c>
      <c r="C229" s="5" t="str">
        <v>Chennai</v>
      </c>
      <c r="D229" s="5" t="str">
        <v>Procurement</v>
      </c>
      <c r="E229" s="5" t="str">
        <v>Sourcing Executive</v>
      </c>
      <c r="F229" s="5">
        <v>0.3840277777777778</v>
      </c>
      <c r="G229" s="5">
        <v>0.78541666666666676</v>
      </c>
      <c r="H229" s="6">
        <f t="shared" si="12"/>
        <v>0.35972222222222228</v>
      </c>
      <c r="I229" s="4" t="str">
        <f t="shared" si="13"/>
        <v>Present</v>
      </c>
      <c r="J229" s="7">
        <f t="shared" si="14"/>
        <v>0</v>
      </c>
      <c r="K229" s="14" t="str">
        <f t="shared" si="15"/>
        <v/>
      </c>
    </row>
    <row r="230" spans="1:11" x14ac:dyDescent="0.3">
      <c r="A230" s="15" t="str">
        <v>EMP135</v>
      </c>
      <c r="B230" s="5" t="str">
        <v>Manoj N</v>
      </c>
      <c r="C230" s="5" t="str">
        <v>Bengaluru</v>
      </c>
      <c r="D230" s="5" t="str">
        <v>Procurement</v>
      </c>
      <c r="E230" s="5" t="str">
        <v>Purchase Executive</v>
      </c>
      <c r="F230" s="5">
        <v>0.37638888888888888</v>
      </c>
      <c r="G230" s="5">
        <v>0.77361111111111114</v>
      </c>
      <c r="H230" s="6">
        <f t="shared" si="12"/>
        <v>0.35555555555555557</v>
      </c>
      <c r="I230" s="4" t="str">
        <f t="shared" si="13"/>
        <v>Present</v>
      </c>
      <c r="J230" s="7">
        <f t="shared" si="14"/>
        <v>0</v>
      </c>
      <c r="K230" s="14" t="str">
        <f t="shared" si="15"/>
        <v/>
      </c>
    </row>
    <row r="231" spans="1:11" x14ac:dyDescent="0.3">
      <c r="A231" s="15" t="str">
        <v>EMP150</v>
      </c>
      <c r="B231" s="5" t="str">
        <v>Mohan V</v>
      </c>
      <c r="C231" s="5" t="str">
        <v>Delhi</v>
      </c>
      <c r="D231" s="5" t="str">
        <v>Procurement</v>
      </c>
      <c r="E231" s="5" t="str">
        <v>Procurement Manager</v>
      </c>
      <c r="F231" s="5">
        <v>0.39097222222222222</v>
      </c>
      <c r="G231" s="5">
        <v>0.78333333333333333</v>
      </c>
      <c r="H231" s="6">
        <f t="shared" si="12"/>
        <v>0.35069444444444442</v>
      </c>
      <c r="I231" s="4" t="str">
        <f t="shared" si="13"/>
        <v>Present</v>
      </c>
      <c r="J231" s="7">
        <f t="shared" si="14"/>
        <v>0</v>
      </c>
      <c r="K231" s="14" t="str">
        <f t="shared" si="15"/>
        <v/>
      </c>
    </row>
    <row r="232" spans="1:11" x14ac:dyDescent="0.3">
      <c r="A232" s="15" t="str">
        <v>EMP151</v>
      </c>
      <c r="B232" s="5" t="str">
        <v>Rahul R</v>
      </c>
      <c r="C232" s="5" t="str">
        <v>Noida</v>
      </c>
      <c r="D232" s="5" t="str">
        <v>Procurement</v>
      </c>
      <c r="E232" s="5" t="str">
        <v>Sourcing Executive</v>
      </c>
      <c r="F232" s="5">
        <v>0.38611111111111113</v>
      </c>
      <c r="G232" s="5">
        <v>0.77708333333333324</v>
      </c>
      <c r="H232" s="6">
        <f t="shared" si="12"/>
        <v>0.34930555555555542</v>
      </c>
      <c r="I232" s="4" t="str">
        <f t="shared" si="13"/>
        <v>Present</v>
      </c>
      <c r="J232" s="7">
        <f t="shared" si="14"/>
        <v>0</v>
      </c>
      <c r="K232" s="14" t="str">
        <f t="shared" si="15"/>
        <v/>
      </c>
    </row>
    <row r="233" spans="1:11" x14ac:dyDescent="0.3">
      <c r="A233" s="15" t="str">
        <v>EMP194</v>
      </c>
      <c r="B233" s="5" t="str">
        <v>Bharath Krishnan</v>
      </c>
      <c r="C233" s="5" t="str">
        <v>Noida</v>
      </c>
      <c r="D233" s="5" t="str">
        <v>Procurement</v>
      </c>
      <c r="E233" s="5" t="str">
        <v>Sourcing Executive</v>
      </c>
      <c r="F233" s="5">
        <v>0.38472222222222219</v>
      </c>
      <c r="G233" s="5">
        <v>0.77708333333333324</v>
      </c>
      <c r="H233" s="6">
        <f t="shared" si="12"/>
        <v>0.35069444444444436</v>
      </c>
      <c r="I233" s="4" t="str">
        <f t="shared" si="13"/>
        <v>Present</v>
      </c>
      <c r="J233" s="7">
        <f t="shared" si="14"/>
        <v>0</v>
      </c>
      <c r="K233" s="14" t="str">
        <f t="shared" si="15"/>
        <v/>
      </c>
    </row>
    <row r="234" spans="1:11" x14ac:dyDescent="0.3">
      <c r="A234" s="15" t="str">
        <v>EMP195</v>
      </c>
      <c r="B234" s="5" t="str">
        <v>Vinoth R</v>
      </c>
      <c r="C234" s="5" t="str">
        <v>Kochi</v>
      </c>
      <c r="D234" s="5" t="str">
        <v>Procurement</v>
      </c>
      <c r="E234" s="5" t="str">
        <v>Purchase Executive</v>
      </c>
      <c r="F234" s="5">
        <v>0.38750000000000001</v>
      </c>
      <c r="G234" s="5">
        <v>0.78680555555555554</v>
      </c>
      <c r="H234" s="6">
        <f t="shared" si="12"/>
        <v>0.35763888888888884</v>
      </c>
      <c r="I234" s="4" t="str">
        <f t="shared" si="13"/>
        <v>Present</v>
      </c>
      <c r="J234" s="7">
        <f t="shared" si="14"/>
        <v>0</v>
      </c>
      <c r="K234" s="14" t="str">
        <f t="shared" si="15"/>
        <v/>
      </c>
    </row>
    <row r="235" spans="1:11" x14ac:dyDescent="0.3">
      <c r="A235" s="15" t="str">
        <v>EMP211</v>
      </c>
      <c r="B235" s="5" t="str">
        <v>Suresh Selvam</v>
      </c>
      <c r="C235" s="5" t="str">
        <v>Bengaluru</v>
      </c>
      <c r="D235" s="5" t="str">
        <v>Procurement</v>
      </c>
      <c r="E235" s="5" t="str">
        <v>Buyer</v>
      </c>
      <c r="F235" s="5">
        <v>0.4055555555555555</v>
      </c>
      <c r="G235" s="5">
        <v>0.77083333333333337</v>
      </c>
      <c r="H235" s="6">
        <f t="shared" si="12"/>
        <v>0.32361111111111118</v>
      </c>
      <c r="I235" s="4" t="str">
        <f t="shared" si="13"/>
        <v>Late</v>
      </c>
      <c r="J235" s="7">
        <f t="shared" si="14"/>
        <v>9.7222222222221877E-3</v>
      </c>
      <c r="K235" s="14" t="str">
        <f t="shared" si="15"/>
        <v/>
      </c>
    </row>
    <row r="236" spans="1:11" x14ac:dyDescent="0.3">
      <c r="A236" s="15" t="str">
        <v>EMP214</v>
      </c>
      <c r="B236" s="5" t="str">
        <v>Mohan Kannan</v>
      </c>
      <c r="C236" s="5" t="str">
        <v>Bengaluru</v>
      </c>
      <c r="D236" s="5" t="str">
        <v>Procurement</v>
      </c>
      <c r="E236" s="5" t="str">
        <v>Purchase Executive</v>
      </c>
      <c r="F236" s="5">
        <v>0.40347222222222223</v>
      </c>
      <c r="G236" s="5">
        <v>0.77500000000000002</v>
      </c>
      <c r="H236" s="6">
        <f t="shared" si="12"/>
        <v>0.3298611111111111</v>
      </c>
      <c r="I236" s="4" t="str">
        <f t="shared" si="13"/>
        <v>Late</v>
      </c>
      <c r="J236" s="7">
        <f t="shared" si="14"/>
        <v>7.6388888888889173E-3</v>
      </c>
      <c r="K236" s="14" t="str">
        <f t="shared" si="15"/>
        <v/>
      </c>
    </row>
    <row r="237" spans="1:11" x14ac:dyDescent="0.3">
      <c r="A237" s="15" t="str">
        <v>EMP220</v>
      </c>
      <c r="B237" s="5" t="str">
        <v>Vignesh G</v>
      </c>
      <c r="C237" s="5" t="str">
        <v>Delhi</v>
      </c>
      <c r="D237" s="5" t="str">
        <v>Procurement</v>
      </c>
      <c r="E237" s="5" t="str">
        <v>Procurement Manager</v>
      </c>
      <c r="F237" s="5">
        <v>0.40069444444444446</v>
      </c>
      <c r="G237" s="5">
        <v>0.78680555555555554</v>
      </c>
      <c r="H237" s="6">
        <f t="shared" si="12"/>
        <v>0.34444444444444439</v>
      </c>
      <c r="I237" s="4" t="str">
        <f t="shared" si="13"/>
        <v>Late</v>
      </c>
      <c r="J237" s="7">
        <f t="shared" si="14"/>
        <v>4.8611111111111494E-3</v>
      </c>
      <c r="K237" s="14" t="str">
        <f t="shared" si="15"/>
        <v/>
      </c>
    </row>
    <row r="238" spans="1:11" x14ac:dyDescent="0.3">
      <c r="A238" s="15" t="str">
        <v>EMP233</v>
      </c>
      <c r="B238" s="5" t="str">
        <v>Praveen Murugan</v>
      </c>
      <c r="C238" s="5" t="str">
        <v>Ahmedabad</v>
      </c>
      <c r="D238" s="5" t="str">
        <v>Procurement</v>
      </c>
      <c r="E238" s="5" t="str">
        <v>Procurement Executive</v>
      </c>
      <c r="F238" s="5">
        <v>0.37777777777777777</v>
      </c>
      <c r="G238" s="5">
        <v>0.77638888888888891</v>
      </c>
      <c r="H238" s="6">
        <f t="shared" si="12"/>
        <v>0.35694444444444445</v>
      </c>
      <c r="I238" s="4" t="str">
        <f t="shared" si="13"/>
        <v>Present</v>
      </c>
      <c r="J238" s="7">
        <f t="shared" si="14"/>
        <v>0</v>
      </c>
      <c r="K238" s="14" t="str">
        <f t="shared" si="15"/>
        <v/>
      </c>
    </row>
    <row r="239" spans="1:11" x14ac:dyDescent="0.3">
      <c r="A239" s="15" t="str">
        <v>EMP248</v>
      </c>
      <c r="B239" s="5" t="str">
        <v>Ramesh Raj</v>
      </c>
      <c r="C239" s="5" t="str">
        <v>Bengaluru</v>
      </c>
      <c r="D239" s="5" t="str">
        <v>Procurement</v>
      </c>
      <c r="E239" s="5" t="str">
        <v>Procurement Manager</v>
      </c>
      <c r="F239" s="5">
        <v>0.3840277777777778</v>
      </c>
      <c r="G239" s="5">
        <v>0.77083333333333337</v>
      </c>
      <c r="H239" s="6">
        <f t="shared" si="12"/>
        <v>0.34513888888888888</v>
      </c>
      <c r="I239" s="4" t="str">
        <f t="shared" si="13"/>
        <v>Present</v>
      </c>
      <c r="J239" s="7">
        <f t="shared" si="14"/>
        <v>0</v>
      </c>
      <c r="K239" s="14" t="str">
        <f t="shared" si="15"/>
        <v/>
      </c>
    </row>
    <row r="240" spans="1:11" x14ac:dyDescent="0.3">
      <c r="A240" s="15" t="str">
        <v>EMP283</v>
      </c>
      <c r="B240" s="5" t="str">
        <v>Aravind K</v>
      </c>
      <c r="C240" s="5" t="str">
        <v>Coimbatore</v>
      </c>
      <c r="D240" s="5" t="str">
        <v>Procurement</v>
      </c>
      <c r="E240" s="5" t="str">
        <v>Buyer</v>
      </c>
      <c r="F240" s="5">
        <v>0.37986111111111115</v>
      </c>
      <c r="G240" s="5">
        <v>0.78472222222222221</v>
      </c>
      <c r="H240" s="6">
        <f t="shared" si="12"/>
        <v>0.36319444444444438</v>
      </c>
      <c r="I240" s="4" t="str">
        <f t="shared" si="13"/>
        <v>Present</v>
      </c>
      <c r="J240" s="7">
        <f t="shared" si="14"/>
        <v>0</v>
      </c>
      <c r="K240" s="14" t="str">
        <f t="shared" si="15"/>
        <v/>
      </c>
    </row>
    <row r="241" spans="1:11" x14ac:dyDescent="0.3">
      <c r="A241" s="15" t="str">
        <v>EMP001</v>
      </c>
      <c r="B241" s="5" t="str">
        <v>Vijay V</v>
      </c>
      <c r="C241" s="5" t="str">
        <v>Hyderabad</v>
      </c>
      <c r="D241" s="5" t="str">
        <v>Production</v>
      </c>
      <c r="E241" s="5" t="str">
        <v>Production Executive</v>
      </c>
      <c r="F241" s="5">
        <v>0.3756944444444445</v>
      </c>
      <c r="G241" s="5">
        <v>0.77708333333333324</v>
      </c>
      <c r="H241" s="6">
        <f t="shared" si="12"/>
        <v>0.35972222222222205</v>
      </c>
      <c r="I241" s="4" t="str">
        <f t="shared" si="13"/>
        <v>Present</v>
      </c>
      <c r="J241" s="7">
        <f t="shared" si="14"/>
        <v>0</v>
      </c>
      <c r="K241" s="14" t="str">
        <f t="shared" si="15"/>
        <v/>
      </c>
    </row>
    <row r="242" spans="1:11" x14ac:dyDescent="0.3">
      <c r="A242" s="15" t="str">
        <v>EMP002</v>
      </c>
      <c r="B242" s="5" t="str">
        <v>Sathish V</v>
      </c>
      <c r="C242" s="5" t="str">
        <v>Hyderabad</v>
      </c>
      <c r="D242" s="5" t="str">
        <v>Production</v>
      </c>
      <c r="E242" s="5" t="str">
        <v>Shift Incharge</v>
      </c>
      <c r="F242" s="5">
        <v>0.4055555555555555</v>
      </c>
      <c r="G242" s="5">
        <v>0.7729166666666667</v>
      </c>
      <c r="H242" s="6">
        <f t="shared" si="12"/>
        <v>0.32569444444444451</v>
      </c>
      <c r="I242" s="4" t="str">
        <f t="shared" si="13"/>
        <v>Late</v>
      </c>
      <c r="J242" s="7">
        <f t="shared" si="14"/>
        <v>9.7222222222221877E-3</v>
      </c>
      <c r="K242" s="14" t="str">
        <f t="shared" si="15"/>
        <v/>
      </c>
    </row>
    <row r="243" spans="1:11" x14ac:dyDescent="0.3">
      <c r="A243" s="15" t="str">
        <v>EMP025</v>
      </c>
      <c r="B243" s="5" t="str">
        <v>Harish V</v>
      </c>
      <c r="C243" s="5" t="str">
        <v>Noida</v>
      </c>
      <c r="D243" s="5" t="str">
        <v>Production</v>
      </c>
      <c r="E243" s="5" t="str">
        <v>Production Supervisor</v>
      </c>
      <c r="F243" s="5">
        <v>0.37708333333333338</v>
      </c>
      <c r="G243" s="5">
        <v>0.77222222222222225</v>
      </c>
      <c r="H243" s="6">
        <f t="shared" si="12"/>
        <v>0.35347222222222219</v>
      </c>
      <c r="I243" s="4" t="str">
        <f t="shared" si="13"/>
        <v>Present</v>
      </c>
      <c r="J243" s="7">
        <f t="shared" si="14"/>
        <v>0</v>
      </c>
      <c r="K243" s="14" t="str">
        <f t="shared" si="15"/>
        <v/>
      </c>
    </row>
    <row r="244" spans="1:11" x14ac:dyDescent="0.3">
      <c r="A244" s="15" t="str">
        <v>EMP043</v>
      </c>
      <c r="B244" s="5" t="str">
        <v>Deepak Selvam</v>
      </c>
      <c r="C244" s="5" t="str">
        <v>Bengaluru</v>
      </c>
      <c r="D244" s="5" t="str">
        <v>Production</v>
      </c>
      <c r="E244" s="5" t="str">
        <v>Quality Inspector</v>
      </c>
      <c r="F244" s="5">
        <v>0.39305555555555555</v>
      </c>
      <c r="G244" s="5">
        <v>0.7895833333333333</v>
      </c>
      <c r="H244" s="6">
        <f t="shared" si="12"/>
        <v>0.35486111111111107</v>
      </c>
      <c r="I244" s="4" t="str">
        <f t="shared" si="13"/>
        <v>Present</v>
      </c>
      <c r="J244" s="7">
        <f t="shared" si="14"/>
        <v>0</v>
      </c>
      <c r="K244" s="14" t="str">
        <f t="shared" si="15"/>
        <v/>
      </c>
    </row>
    <row r="245" spans="1:11" x14ac:dyDescent="0.3">
      <c r="A245" s="15" t="str">
        <v>EMP046</v>
      </c>
      <c r="B245" s="5" t="str">
        <v>Aravind Selvam</v>
      </c>
      <c r="C245" s="5" t="str">
        <v>Hyderabad</v>
      </c>
      <c r="D245" s="5" t="str">
        <v>Production</v>
      </c>
      <c r="E245" s="5" t="str">
        <v>Production Manager</v>
      </c>
      <c r="F245" s="5">
        <v>0.39027777777777778</v>
      </c>
      <c r="G245" s="5">
        <v>0.78194444444444444</v>
      </c>
      <c r="H245" s="6">
        <f t="shared" si="12"/>
        <v>0.35</v>
      </c>
      <c r="I245" s="4" t="str">
        <f t="shared" si="13"/>
        <v>Present</v>
      </c>
      <c r="J245" s="7">
        <f t="shared" si="14"/>
        <v>0</v>
      </c>
      <c r="K245" s="14" t="str">
        <f t="shared" si="15"/>
        <v/>
      </c>
    </row>
    <row r="246" spans="1:11" x14ac:dyDescent="0.3">
      <c r="A246" s="15" t="str">
        <v>EMP057</v>
      </c>
      <c r="B246" s="5" t="str">
        <v>Ramesh B</v>
      </c>
      <c r="C246" s="5" t="str">
        <v>Noida</v>
      </c>
      <c r="D246" s="5" t="str">
        <v>Production</v>
      </c>
      <c r="E246" s="5" t="str">
        <v>Production Executive</v>
      </c>
      <c r="F246" s="5">
        <v>0.3756944444444445</v>
      </c>
      <c r="G246" s="5">
        <v>0.78125</v>
      </c>
      <c r="H246" s="6">
        <f t="shared" si="12"/>
        <v>0.36388888888888882</v>
      </c>
      <c r="I246" s="4" t="str">
        <f t="shared" si="13"/>
        <v>Present</v>
      </c>
      <c r="J246" s="7">
        <f t="shared" si="14"/>
        <v>0</v>
      </c>
      <c r="K246" s="14" t="str">
        <f t="shared" si="15"/>
        <v/>
      </c>
    </row>
    <row r="247" spans="1:11" x14ac:dyDescent="0.3">
      <c r="A247" s="15" t="str">
        <v>EMP071</v>
      </c>
      <c r="B247" s="5" t="str">
        <v>Yuvaraj Kumar</v>
      </c>
      <c r="C247" s="5" t="str">
        <v>Delhi</v>
      </c>
      <c r="D247" s="5" t="str">
        <v>Production</v>
      </c>
      <c r="E247" s="5" t="str">
        <v>Production Executive</v>
      </c>
      <c r="F247" s="5">
        <v>0.39652777777777781</v>
      </c>
      <c r="G247" s="5">
        <v>0.78402777777777777</v>
      </c>
      <c r="H247" s="6">
        <f t="shared" si="12"/>
        <v>0.34583333333333327</v>
      </c>
      <c r="I247" s="4" t="str">
        <f t="shared" si="13"/>
        <v>Late</v>
      </c>
      <c r="J247" s="7">
        <f t="shared" si="14"/>
        <v>6.9444444444449749E-4</v>
      </c>
      <c r="K247" s="14" t="str">
        <f t="shared" si="15"/>
        <v/>
      </c>
    </row>
    <row r="248" spans="1:11" x14ac:dyDescent="0.3">
      <c r="A248" s="15" t="str">
        <v>EMP083</v>
      </c>
      <c r="B248" s="5" t="str">
        <v>Arun R</v>
      </c>
      <c r="C248" s="5" t="str">
        <v>Delhi</v>
      </c>
      <c r="D248" s="5" t="str">
        <v>Production</v>
      </c>
      <c r="E248" s="5" t="str">
        <v>Production Manager</v>
      </c>
      <c r="F248" s="5">
        <v>0.39930555555555558</v>
      </c>
      <c r="G248" s="5">
        <v>0.78819444444444453</v>
      </c>
      <c r="H248" s="6">
        <f t="shared" si="12"/>
        <v>0.34722222222222227</v>
      </c>
      <c r="I248" s="4" t="str">
        <f t="shared" si="13"/>
        <v>Late</v>
      </c>
      <c r="J248" s="7">
        <f t="shared" si="14"/>
        <v>3.4722222222222654E-3</v>
      </c>
      <c r="K248" s="14" t="str">
        <f t="shared" si="15"/>
        <v/>
      </c>
    </row>
    <row r="249" spans="1:11" x14ac:dyDescent="0.3">
      <c r="A249" s="15" t="str">
        <v>EMP091</v>
      </c>
      <c r="B249" s="5" t="str">
        <v>Karthik K</v>
      </c>
      <c r="C249" s="5" t="str">
        <v>Kochi</v>
      </c>
      <c r="D249" s="5" t="str">
        <v>Production</v>
      </c>
      <c r="E249" s="5" t="str">
        <v>Production Manager</v>
      </c>
      <c r="F249" s="5">
        <v>0.3979166666666667</v>
      </c>
      <c r="G249" s="5">
        <v>0.77361111111111114</v>
      </c>
      <c r="H249" s="6">
        <f t="shared" si="12"/>
        <v>0.33402777777777776</v>
      </c>
      <c r="I249" s="4" t="str">
        <f t="shared" si="13"/>
        <v>Late</v>
      </c>
      <c r="J249" s="7">
        <f t="shared" si="14"/>
        <v>2.0833333333333814E-3</v>
      </c>
      <c r="K249" s="14" t="str">
        <f t="shared" si="15"/>
        <v/>
      </c>
    </row>
    <row r="250" spans="1:11" x14ac:dyDescent="0.3">
      <c r="A250" s="15" t="str">
        <v>EMP109</v>
      </c>
      <c r="B250" s="5" t="str">
        <v>Aravind Narayanan</v>
      </c>
      <c r="C250" s="5" t="str">
        <v>Mumbai</v>
      </c>
      <c r="D250" s="5" t="str">
        <v>Production</v>
      </c>
      <c r="E250" s="5" t="str">
        <v>Production Manager</v>
      </c>
      <c r="F250" s="5">
        <v>0.38541666666666669</v>
      </c>
      <c r="G250" s="5">
        <v>0.78749999999999998</v>
      </c>
      <c r="H250" s="6">
        <f t="shared" si="12"/>
        <v>0.36041666666666661</v>
      </c>
      <c r="I250" s="4" t="str">
        <f t="shared" si="13"/>
        <v>Present</v>
      </c>
      <c r="J250" s="7">
        <f t="shared" si="14"/>
        <v>0</v>
      </c>
      <c r="K250" s="14" t="str">
        <f t="shared" si="15"/>
        <v/>
      </c>
    </row>
    <row r="251" spans="1:11" x14ac:dyDescent="0.3">
      <c r="A251" s="15" t="str">
        <v>EMP110</v>
      </c>
      <c r="B251" s="5" t="str">
        <v>Vijay P</v>
      </c>
      <c r="C251" s="5" t="str">
        <v>Pune</v>
      </c>
      <c r="D251" s="5" t="str">
        <v>Production</v>
      </c>
      <c r="E251" s="5" t="str">
        <v>Production Manager</v>
      </c>
      <c r="F251" s="5">
        <v>0.375</v>
      </c>
      <c r="G251" s="5">
        <v>0.77708333333333324</v>
      </c>
      <c r="H251" s="6">
        <f t="shared" si="12"/>
        <v>0.36041666666666655</v>
      </c>
      <c r="I251" s="4" t="str">
        <f t="shared" si="13"/>
        <v>Present</v>
      </c>
      <c r="J251" s="7">
        <f t="shared" si="14"/>
        <v>0</v>
      </c>
      <c r="K251" s="14" t="str">
        <f t="shared" si="15"/>
        <v/>
      </c>
    </row>
    <row r="252" spans="1:11" x14ac:dyDescent="0.3">
      <c r="A252" s="15" t="str">
        <v>EMP111</v>
      </c>
      <c r="B252" s="5" t="str">
        <v>Rahul T</v>
      </c>
      <c r="C252" s="5" t="str">
        <v>Ahmedabad</v>
      </c>
      <c r="D252" s="5" t="str">
        <v>Production</v>
      </c>
      <c r="E252" s="5" t="str">
        <v>Production Supervisor</v>
      </c>
      <c r="F252" s="5">
        <v>0.37708333333333338</v>
      </c>
      <c r="G252" s="5">
        <v>0.78611111111111109</v>
      </c>
      <c r="H252" s="6">
        <f t="shared" si="12"/>
        <v>0.36736111111111103</v>
      </c>
      <c r="I252" s="4" t="str">
        <f t="shared" si="13"/>
        <v>Present</v>
      </c>
      <c r="J252" s="7">
        <f t="shared" si="14"/>
        <v>0</v>
      </c>
      <c r="K252" s="14" t="str">
        <f t="shared" si="15"/>
        <v/>
      </c>
    </row>
    <row r="253" spans="1:11" x14ac:dyDescent="0.3">
      <c r="A253" s="15" t="str">
        <v>EMP148</v>
      </c>
      <c r="B253" s="5" t="str">
        <v>Bharath Kannan</v>
      </c>
      <c r="C253" s="5" t="str">
        <v>Kochi</v>
      </c>
      <c r="D253" s="5" t="str">
        <v>Production</v>
      </c>
      <c r="E253" s="5" t="str">
        <v>Production Manager</v>
      </c>
      <c r="F253" s="5">
        <v>0.38194444444444442</v>
      </c>
      <c r="G253" s="5">
        <v>0.78749999999999998</v>
      </c>
      <c r="H253" s="6">
        <f t="shared" si="12"/>
        <v>0.36388888888888887</v>
      </c>
      <c r="I253" s="4" t="str">
        <f t="shared" si="13"/>
        <v>Present</v>
      </c>
      <c r="J253" s="7">
        <f t="shared" si="14"/>
        <v>0</v>
      </c>
      <c r="K253" s="14" t="str">
        <f t="shared" si="15"/>
        <v/>
      </c>
    </row>
    <row r="254" spans="1:11" x14ac:dyDescent="0.3">
      <c r="A254" s="15" t="str">
        <v>EMP152</v>
      </c>
      <c r="B254" s="5" t="str">
        <v>Harish R</v>
      </c>
      <c r="C254" s="5" t="str">
        <v>Pune</v>
      </c>
      <c r="D254" s="5" t="str">
        <v>Production</v>
      </c>
      <c r="E254" s="5" t="str">
        <v>Production Manager</v>
      </c>
      <c r="F254" s="5">
        <v>0.38611111111111113</v>
      </c>
      <c r="G254" s="5">
        <v>0.77986111111111101</v>
      </c>
      <c r="H254" s="6">
        <f t="shared" si="12"/>
        <v>0.35208333333333319</v>
      </c>
      <c r="I254" s="4" t="str">
        <f t="shared" si="13"/>
        <v>Present</v>
      </c>
      <c r="J254" s="7">
        <f t="shared" si="14"/>
        <v>0</v>
      </c>
      <c r="K254" s="14" t="str">
        <f t="shared" si="15"/>
        <v/>
      </c>
    </row>
    <row r="255" spans="1:11" x14ac:dyDescent="0.3">
      <c r="A255" s="15" t="str">
        <v>EMP159</v>
      </c>
      <c r="B255" s="5" t="str">
        <v>Yuvaraj T</v>
      </c>
      <c r="C255" s="5" t="str">
        <v>Noida</v>
      </c>
      <c r="D255" s="5" t="str">
        <v>Production</v>
      </c>
      <c r="E255" s="5" t="str">
        <v>Shift Incharge</v>
      </c>
      <c r="F255" s="5">
        <v>0.39930555555555558</v>
      </c>
      <c r="G255" s="5">
        <v>0.77222222222222225</v>
      </c>
      <c r="H255" s="6">
        <f t="shared" si="12"/>
        <v>0.33124999999999999</v>
      </c>
      <c r="I255" s="4" t="str">
        <f t="shared" si="13"/>
        <v>Late</v>
      </c>
      <c r="J255" s="7">
        <f t="shared" si="14"/>
        <v>3.4722222222222654E-3</v>
      </c>
      <c r="K255" s="14" t="str">
        <f t="shared" si="15"/>
        <v/>
      </c>
    </row>
    <row r="256" spans="1:11" x14ac:dyDescent="0.3">
      <c r="A256" s="15" t="str">
        <v>EMP160</v>
      </c>
      <c r="B256" s="5" t="str">
        <v>Rahul B</v>
      </c>
      <c r="C256" s="5" t="str">
        <v>Kochi</v>
      </c>
      <c r="D256" s="5" t="str">
        <v>Production</v>
      </c>
      <c r="E256" s="5" t="str">
        <v>Production Manager</v>
      </c>
      <c r="F256" s="5">
        <v>0.3972222222222222</v>
      </c>
      <c r="G256" s="5">
        <v>0.77638888888888891</v>
      </c>
      <c r="H256" s="6">
        <f t="shared" si="12"/>
        <v>0.33750000000000002</v>
      </c>
      <c r="I256" s="4" t="str">
        <f t="shared" si="13"/>
        <v>Late</v>
      </c>
      <c r="J256" s="7">
        <f t="shared" si="14"/>
        <v>1.388888888888884E-3</v>
      </c>
      <c r="K256" s="14" t="str">
        <f t="shared" si="15"/>
        <v/>
      </c>
    </row>
    <row r="257" spans="1:11" x14ac:dyDescent="0.3">
      <c r="A257" s="15" t="str">
        <v>EMP165</v>
      </c>
      <c r="B257" s="5" t="str">
        <v>Sanjay Selvam</v>
      </c>
      <c r="C257" s="5" t="str">
        <v>Kochi</v>
      </c>
      <c r="D257" s="5" t="str">
        <v>Production</v>
      </c>
      <c r="E257" s="5" t="str">
        <v>Quality Inspector</v>
      </c>
      <c r="F257" s="5">
        <v>0.4055555555555555</v>
      </c>
      <c r="G257" s="5">
        <v>0.78125</v>
      </c>
      <c r="H257" s="6">
        <f t="shared" si="12"/>
        <v>0.33402777777777781</v>
      </c>
      <c r="I257" s="4" t="str">
        <f t="shared" si="13"/>
        <v>Late</v>
      </c>
      <c r="J257" s="7">
        <f t="shared" si="14"/>
        <v>9.7222222222221877E-3</v>
      </c>
      <c r="K257" s="14" t="str">
        <f t="shared" si="15"/>
        <v/>
      </c>
    </row>
    <row r="258" spans="1:11" x14ac:dyDescent="0.3">
      <c r="A258" s="15" t="str">
        <v>EMP168</v>
      </c>
      <c r="B258" s="5" t="str">
        <v>Saravanan Murugan</v>
      </c>
      <c r="C258" s="5" t="str">
        <v>Mumbai</v>
      </c>
      <c r="D258" s="5" t="str">
        <v>Production</v>
      </c>
      <c r="E258" s="5" t="str">
        <v>Production Manager</v>
      </c>
      <c r="F258" s="5">
        <v>0.39166666666666666</v>
      </c>
      <c r="G258" s="5">
        <v>0.77986111111111101</v>
      </c>
      <c r="H258" s="6">
        <f t="shared" si="12"/>
        <v>0.34652777777777766</v>
      </c>
      <c r="I258" s="4" t="str">
        <f t="shared" si="13"/>
        <v>Present</v>
      </c>
      <c r="J258" s="7">
        <f t="shared" si="14"/>
        <v>0</v>
      </c>
      <c r="K258" s="14" t="str">
        <f t="shared" si="15"/>
        <v/>
      </c>
    </row>
    <row r="259" spans="1:11" x14ac:dyDescent="0.3">
      <c r="A259" s="15" t="str">
        <v>EMP169</v>
      </c>
      <c r="B259" s="5" t="str">
        <v>Naveen S</v>
      </c>
      <c r="C259" s="5" t="str">
        <v>Ahmedabad</v>
      </c>
      <c r="D259" s="5" t="str">
        <v>Production</v>
      </c>
      <c r="E259" s="5" t="str">
        <v>Production Executive</v>
      </c>
      <c r="F259" s="5">
        <v>0.40416666666666662</v>
      </c>
      <c r="G259" s="5">
        <v>0.78611111111111109</v>
      </c>
      <c r="H259" s="6">
        <f t="shared" si="12"/>
        <v>0.34027777777777779</v>
      </c>
      <c r="I259" s="4" t="str">
        <f t="shared" si="13"/>
        <v>Late</v>
      </c>
      <c r="J259" s="7">
        <f t="shared" si="14"/>
        <v>8.3333333333333037E-3</v>
      </c>
      <c r="K259" s="14" t="str">
        <f t="shared" si="15"/>
        <v/>
      </c>
    </row>
    <row r="260" spans="1:11" x14ac:dyDescent="0.3">
      <c r="A260" s="15" t="str">
        <v>EMP170</v>
      </c>
      <c r="B260" s="5" t="str">
        <v>Praveen Babu</v>
      </c>
      <c r="C260" s="5" t="str">
        <v>Chennai</v>
      </c>
      <c r="D260" s="5" t="str">
        <v>Production</v>
      </c>
      <c r="E260" s="5" t="str">
        <v>Shift Incharge</v>
      </c>
      <c r="F260" s="5">
        <v>0.38680555555555557</v>
      </c>
      <c r="G260" s="5">
        <v>0.77847222222222223</v>
      </c>
      <c r="H260" s="6">
        <f t="shared" ref="H260:H302" si="16">IF(OR(F260="",G260=""),0,G260-F260-TIME(1,0,0))</f>
        <v>0.35</v>
      </c>
      <c r="I260" s="4" t="str">
        <f t="shared" ref="I260:I302" si="17">IF(F260="","Absent",IF(F260&gt;TIME(9,30,0),"Late","Present"))</f>
        <v>Present</v>
      </c>
      <c r="J260" s="7">
        <f t="shared" ref="J260:J302" si="18">IF(F260="","",IF(F260&lt;=TIME(9,30,0),0,F260-TIME(9,30,0)))</f>
        <v>0</v>
      </c>
      <c r="K260" s="14" t="str">
        <f t="shared" ref="K260:K302" si="19">IF(AND(F260&lt;&gt;"",G260=""),"On Duty","")</f>
        <v/>
      </c>
    </row>
    <row r="261" spans="1:11" x14ac:dyDescent="0.3">
      <c r="A261" s="15" t="str">
        <v>EMP176</v>
      </c>
      <c r="B261" s="5" t="str">
        <v>Nithin Krishnan</v>
      </c>
      <c r="C261" s="5" t="str">
        <v>Coimbatore</v>
      </c>
      <c r="D261" s="5" t="str">
        <v>Production</v>
      </c>
      <c r="E261" s="5" t="str">
        <v>Production Executive</v>
      </c>
      <c r="F261" s="5">
        <v>0.39513888888888887</v>
      </c>
      <c r="G261" s="5">
        <v>0.77430555555555547</v>
      </c>
      <c r="H261" s="6">
        <f t="shared" si="16"/>
        <v>0.33749999999999991</v>
      </c>
      <c r="I261" s="4" t="str">
        <f t="shared" si="17"/>
        <v>Present</v>
      </c>
      <c r="J261" s="7">
        <f t="shared" si="18"/>
        <v>0</v>
      </c>
      <c r="K261" s="14" t="str">
        <f t="shared" si="19"/>
        <v/>
      </c>
    </row>
    <row r="262" spans="1:11" x14ac:dyDescent="0.3">
      <c r="A262" s="15" t="str">
        <v>EMP177</v>
      </c>
      <c r="B262" s="5" t="str">
        <v>Deepak Narayanan</v>
      </c>
      <c r="C262" s="5" t="str">
        <v>Hyderabad</v>
      </c>
      <c r="D262" s="5" t="str">
        <v>Production</v>
      </c>
      <c r="E262" s="5" t="str">
        <v>Shift Incharge</v>
      </c>
      <c r="F262" s="5"/>
      <c r="G262" s="5"/>
      <c r="H262" s="6">
        <f t="shared" si="16"/>
        <v>0</v>
      </c>
      <c r="I262" s="4" t="str">
        <f t="shared" si="17"/>
        <v>Absent</v>
      </c>
      <c r="J262" s="7" t="str">
        <f t="shared" si="18"/>
        <v/>
      </c>
      <c r="K262" s="14" t="str">
        <f t="shared" si="19"/>
        <v/>
      </c>
    </row>
    <row r="263" spans="1:11" x14ac:dyDescent="0.3">
      <c r="A263" s="15" t="str">
        <v>EMP179</v>
      </c>
      <c r="B263" s="5" t="str">
        <v>Naveen Kannan</v>
      </c>
      <c r="C263" s="5" t="str">
        <v>Delhi</v>
      </c>
      <c r="D263" s="5" t="str">
        <v>Production</v>
      </c>
      <c r="E263" s="5" t="str">
        <v>Quality Inspector</v>
      </c>
      <c r="F263" s="5">
        <v>0.38125000000000003</v>
      </c>
      <c r="G263" s="5">
        <v>0.77916666666666667</v>
      </c>
      <c r="H263" s="6">
        <f t="shared" si="16"/>
        <v>0.35624999999999996</v>
      </c>
      <c r="I263" s="4" t="str">
        <f t="shared" si="17"/>
        <v>Present</v>
      </c>
      <c r="J263" s="7">
        <f t="shared" si="18"/>
        <v>0</v>
      </c>
      <c r="K263" s="14" t="str">
        <f t="shared" si="19"/>
        <v/>
      </c>
    </row>
    <row r="264" spans="1:11" x14ac:dyDescent="0.3">
      <c r="A264" s="15" t="str">
        <v>EMP199</v>
      </c>
      <c r="B264" s="5" t="str">
        <v>Ashwin Kumar</v>
      </c>
      <c r="C264" s="5" t="str">
        <v>Kochi</v>
      </c>
      <c r="D264" s="5" t="str">
        <v>Production</v>
      </c>
      <c r="E264" s="5" t="str">
        <v>Production Supervisor</v>
      </c>
      <c r="F264" s="5">
        <v>0.39374999999999999</v>
      </c>
      <c r="G264" s="5">
        <v>0.78194444444444444</v>
      </c>
      <c r="H264" s="6">
        <f t="shared" si="16"/>
        <v>0.34652777777777777</v>
      </c>
      <c r="I264" s="4" t="str">
        <f t="shared" si="17"/>
        <v>Present</v>
      </c>
      <c r="J264" s="7">
        <f t="shared" si="18"/>
        <v>0</v>
      </c>
      <c r="K264" s="14" t="str">
        <f t="shared" si="19"/>
        <v/>
      </c>
    </row>
    <row r="265" spans="1:11" x14ac:dyDescent="0.3">
      <c r="A265" s="15" t="str">
        <v>EMP201</v>
      </c>
      <c r="B265" s="5" t="str">
        <v>Bharath Narayanan</v>
      </c>
      <c r="C265" s="5" t="str">
        <v>Delhi</v>
      </c>
      <c r="D265" s="5" t="str">
        <v>Production</v>
      </c>
      <c r="E265" s="5" t="str">
        <v>Production Manager</v>
      </c>
      <c r="F265" s="5"/>
      <c r="G265" s="5"/>
      <c r="H265" s="6">
        <f t="shared" si="16"/>
        <v>0</v>
      </c>
      <c r="I265" s="4" t="str">
        <f t="shared" si="17"/>
        <v>Absent</v>
      </c>
      <c r="J265" s="7" t="str">
        <f t="shared" si="18"/>
        <v/>
      </c>
      <c r="K265" s="14" t="str">
        <f t="shared" si="19"/>
        <v/>
      </c>
    </row>
    <row r="266" spans="1:11" x14ac:dyDescent="0.3">
      <c r="A266" s="15" t="str">
        <v>EMP216</v>
      </c>
      <c r="B266" s="5" t="str">
        <v>Arun Babu</v>
      </c>
      <c r="C266" s="5" t="str">
        <v>Noida</v>
      </c>
      <c r="D266" s="5" t="str">
        <v>Production</v>
      </c>
      <c r="E266" s="5" t="str">
        <v>Production Manager</v>
      </c>
      <c r="F266" s="5">
        <v>0.39374999999999999</v>
      </c>
      <c r="G266" s="5">
        <v>0.77777777777777779</v>
      </c>
      <c r="H266" s="6">
        <f t="shared" si="16"/>
        <v>0.34236111111111112</v>
      </c>
      <c r="I266" s="4" t="str">
        <f t="shared" si="17"/>
        <v>Present</v>
      </c>
      <c r="J266" s="7">
        <f t="shared" si="18"/>
        <v>0</v>
      </c>
      <c r="K266" s="14" t="str">
        <f t="shared" si="19"/>
        <v/>
      </c>
    </row>
    <row r="267" spans="1:11" x14ac:dyDescent="0.3">
      <c r="A267" s="15" t="str">
        <v>EMP222</v>
      </c>
      <c r="B267" s="5" t="str">
        <v>Vinoth Murugan</v>
      </c>
      <c r="C267" s="5" t="str">
        <v>Hyderabad</v>
      </c>
      <c r="D267" s="5" t="str">
        <v>Production</v>
      </c>
      <c r="E267" s="5" t="str">
        <v>Quality Inspector</v>
      </c>
      <c r="F267" s="5">
        <v>0.38611111111111113</v>
      </c>
      <c r="G267" s="5">
        <v>0.78680555555555554</v>
      </c>
      <c r="H267" s="6">
        <f t="shared" si="16"/>
        <v>0.35902777777777772</v>
      </c>
      <c r="I267" s="4" t="str">
        <f t="shared" si="17"/>
        <v>Present</v>
      </c>
      <c r="J267" s="7">
        <f t="shared" si="18"/>
        <v>0</v>
      </c>
      <c r="K267" s="14" t="str">
        <f t="shared" si="19"/>
        <v/>
      </c>
    </row>
    <row r="268" spans="1:11" x14ac:dyDescent="0.3">
      <c r="A268" s="15" t="str">
        <v>EMP224</v>
      </c>
      <c r="B268" s="5" t="str">
        <v>Bharath Murugan</v>
      </c>
      <c r="C268" s="5" t="str">
        <v>Coimbatore</v>
      </c>
      <c r="D268" s="5" t="str">
        <v>Production</v>
      </c>
      <c r="E268" s="5" t="str">
        <v>Shift Incharge</v>
      </c>
      <c r="F268" s="5">
        <v>0.3972222222222222</v>
      </c>
      <c r="G268" s="5">
        <v>0.7715277777777777</v>
      </c>
      <c r="H268" s="6">
        <f t="shared" si="16"/>
        <v>0.33263888888888882</v>
      </c>
      <c r="I268" s="4" t="str">
        <f t="shared" si="17"/>
        <v>Late</v>
      </c>
      <c r="J268" s="7">
        <f t="shared" si="18"/>
        <v>1.388888888888884E-3</v>
      </c>
      <c r="K268" s="14" t="str">
        <f t="shared" si="19"/>
        <v/>
      </c>
    </row>
    <row r="269" spans="1:11" x14ac:dyDescent="0.3">
      <c r="A269" s="15" t="str">
        <v>EMP242</v>
      </c>
      <c r="B269" s="5" t="str">
        <v>Suresh Kannan</v>
      </c>
      <c r="C269" s="5" t="str">
        <v>Bengaluru</v>
      </c>
      <c r="D269" s="5" t="str">
        <v>Production</v>
      </c>
      <c r="E269" s="5" t="str">
        <v>Production Manager</v>
      </c>
      <c r="F269" s="5">
        <v>0.3972222222222222</v>
      </c>
      <c r="G269" s="5">
        <v>0.77430555555555547</v>
      </c>
      <c r="H269" s="6">
        <f t="shared" si="16"/>
        <v>0.33541666666666659</v>
      </c>
      <c r="I269" s="4" t="str">
        <f t="shared" si="17"/>
        <v>Late</v>
      </c>
      <c r="J269" s="7">
        <f t="shared" si="18"/>
        <v>1.388888888888884E-3</v>
      </c>
      <c r="K269" s="14" t="str">
        <f t="shared" si="19"/>
        <v/>
      </c>
    </row>
    <row r="270" spans="1:11" x14ac:dyDescent="0.3">
      <c r="A270" s="15" t="str">
        <v>EMP246</v>
      </c>
      <c r="B270" s="5" t="str">
        <v>Bharath Raja</v>
      </c>
      <c r="C270" s="5" t="str">
        <v>Chennai</v>
      </c>
      <c r="D270" s="5" t="str">
        <v>Production</v>
      </c>
      <c r="E270" s="5" t="str">
        <v>Production Supervisor</v>
      </c>
      <c r="F270" s="5">
        <v>0.3923611111111111</v>
      </c>
      <c r="G270" s="5">
        <v>0.77638888888888891</v>
      </c>
      <c r="H270" s="6">
        <f t="shared" si="16"/>
        <v>0.34236111111111112</v>
      </c>
      <c r="I270" s="4" t="str">
        <f t="shared" si="17"/>
        <v>Present</v>
      </c>
      <c r="J270" s="7">
        <f t="shared" si="18"/>
        <v>0</v>
      </c>
      <c r="K270" s="14" t="str">
        <f t="shared" si="19"/>
        <v/>
      </c>
    </row>
    <row r="271" spans="1:11" x14ac:dyDescent="0.3">
      <c r="A271" s="15" t="str">
        <v>EMP269</v>
      </c>
      <c r="B271" s="5" t="str">
        <v>Sanjay Narayanan</v>
      </c>
      <c r="C271" s="5" t="str">
        <v>Pune</v>
      </c>
      <c r="D271" s="5" t="str">
        <v>Production</v>
      </c>
      <c r="E271" s="5" t="str">
        <v>Production Supervisor</v>
      </c>
      <c r="F271" s="5">
        <v>0.3972222222222222</v>
      </c>
      <c r="G271" s="5">
        <v>0.78333333333333333</v>
      </c>
      <c r="H271" s="6">
        <f t="shared" si="16"/>
        <v>0.34444444444444444</v>
      </c>
      <c r="I271" s="4" t="str">
        <f t="shared" si="17"/>
        <v>Late</v>
      </c>
      <c r="J271" s="7">
        <f t="shared" si="18"/>
        <v>1.388888888888884E-3</v>
      </c>
      <c r="K271" s="14" t="str">
        <f t="shared" si="19"/>
        <v/>
      </c>
    </row>
    <row r="272" spans="1:11" x14ac:dyDescent="0.3">
      <c r="A272" s="15" t="str">
        <v>EMP289</v>
      </c>
      <c r="B272" s="5" t="str">
        <v>Arun K</v>
      </c>
      <c r="C272" s="5" t="str">
        <v>Noida</v>
      </c>
      <c r="D272" s="5" t="str">
        <v>Production</v>
      </c>
      <c r="E272" s="5" t="str">
        <v>Shift Incharge</v>
      </c>
      <c r="F272" s="5">
        <v>0.38680555555555557</v>
      </c>
      <c r="G272" s="5">
        <v>0.77847222222222223</v>
      </c>
      <c r="H272" s="6">
        <f t="shared" si="16"/>
        <v>0.35</v>
      </c>
      <c r="I272" s="4" t="str">
        <f t="shared" si="17"/>
        <v>Present</v>
      </c>
      <c r="J272" s="7">
        <f t="shared" si="18"/>
        <v>0</v>
      </c>
      <c r="K272" s="14" t="str">
        <f t="shared" si="19"/>
        <v/>
      </c>
    </row>
    <row r="273" spans="1:11" x14ac:dyDescent="0.3">
      <c r="A273" s="15" t="str">
        <v>EMP297</v>
      </c>
      <c r="B273" s="5" t="str">
        <v>Vinoth Kannan</v>
      </c>
      <c r="C273" s="5" t="str">
        <v>Ahmedabad</v>
      </c>
      <c r="D273" s="5" t="str">
        <v>Production</v>
      </c>
      <c r="E273" s="5" t="str">
        <v>Production Executive</v>
      </c>
      <c r="F273" s="5">
        <v>0.38055555555555554</v>
      </c>
      <c r="G273" s="5">
        <v>0.79027777777777775</v>
      </c>
      <c r="H273" s="6">
        <f t="shared" si="16"/>
        <v>0.36805555555555552</v>
      </c>
      <c r="I273" s="4" t="str">
        <f t="shared" si="17"/>
        <v>Present</v>
      </c>
      <c r="J273" s="7">
        <f t="shared" si="18"/>
        <v>0</v>
      </c>
      <c r="K273" s="14" t="str">
        <f t="shared" si="19"/>
        <v/>
      </c>
    </row>
    <row r="274" spans="1:11" x14ac:dyDescent="0.3">
      <c r="A274" s="15" t="str">
        <v>EMP009</v>
      </c>
      <c r="B274" s="5" t="str">
        <v>Yuvaraj Babu</v>
      </c>
      <c r="C274" s="5" t="str">
        <v>Noida</v>
      </c>
      <c r="D274" s="5" t="str">
        <v>Sales</v>
      </c>
      <c r="E274" s="5" t="str">
        <v>Senior Sales Executive</v>
      </c>
      <c r="F274" s="5">
        <v>0.3979166666666667</v>
      </c>
      <c r="G274" s="5">
        <v>0.7895833333333333</v>
      </c>
      <c r="H274" s="6">
        <f t="shared" si="16"/>
        <v>0.34999999999999992</v>
      </c>
      <c r="I274" s="4" t="str">
        <f t="shared" si="17"/>
        <v>Late</v>
      </c>
      <c r="J274" s="7">
        <f t="shared" si="18"/>
        <v>2.0833333333333814E-3</v>
      </c>
      <c r="K274" s="14" t="str">
        <f t="shared" si="19"/>
        <v/>
      </c>
    </row>
    <row r="275" spans="1:11" x14ac:dyDescent="0.3">
      <c r="A275" s="15" t="str">
        <v>EMP028</v>
      </c>
      <c r="B275" s="5" t="str">
        <v>Vinoth V</v>
      </c>
      <c r="C275" s="5" t="str">
        <v>Coimbatore</v>
      </c>
      <c r="D275" s="5" t="str">
        <v>Sales</v>
      </c>
      <c r="E275" s="5" t="str">
        <v>Key Account Executive</v>
      </c>
      <c r="F275" s="5">
        <v>0.38541666666666669</v>
      </c>
      <c r="G275" s="5">
        <v>0.7909722222222223</v>
      </c>
      <c r="H275" s="6">
        <f t="shared" si="16"/>
        <v>0.36388888888888893</v>
      </c>
      <c r="I275" s="4" t="str">
        <f t="shared" si="17"/>
        <v>Present</v>
      </c>
      <c r="J275" s="7">
        <f t="shared" si="18"/>
        <v>0</v>
      </c>
      <c r="K275" s="14" t="str">
        <f t="shared" si="19"/>
        <v/>
      </c>
    </row>
    <row r="276" spans="1:11" x14ac:dyDescent="0.3">
      <c r="A276" s="15" t="str">
        <v>EMP030</v>
      </c>
      <c r="B276" s="5" t="str">
        <v>Yuvaraj Murugan</v>
      </c>
      <c r="C276" s="5" t="str">
        <v>Coimbatore</v>
      </c>
      <c r="D276" s="5" t="str">
        <v>Sales</v>
      </c>
      <c r="E276" s="5" t="str">
        <v>Senior Sales Executive</v>
      </c>
      <c r="F276" s="5">
        <v>0.3840277777777778</v>
      </c>
      <c r="G276" s="5">
        <v>0.78472222222222221</v>
      </c>
      <c r="H276" s="6">
        <f t="shared" si="16"/>
        <v>0.35902777777777772</v>
      </c>
      <c r="I276" s="4" t="str">
        <f t="shared" si="17"/>
        <v>Present</v>
      </c>
      <c r="J276" s="7">
        <f t="shared" si="18"/>
        <v>0</v>
      </c>
      <c r="K276" s="14" t="str">
        <f t="shared" si="19"/>
        <v/>
      </c>
    </row>
    <row r="277" spans="1:11" x14ac:dyDescent="0.3">
      <c r="A277" s="15" t="str">
        <v>EMP038</v>
      </c>
      <c r="B277" s="5" t="str">
        <v>Kishore M</v>
      </c>
      <c r="C277" s="5" t="str">
        <v>Bengaluru</v>
      </c>
      <c r="D277" s="5" t="str">
        <v>Sales</v>
      </c>
      <c r="E277" s="5" t="str">
        <v>Key Account Executive</v>
      </c>
      <c r="F277" s="5">
        <v>0.3972222222222222</v>
      </c>
      <c r="G277" s="5">
        <v>0.7729166666666667</v>
      </c>
      <c r="H277" s="6">
        <f t="shared" si="16"/>
        <v>0.33402777777777781</v>
      </c>
      <c r="I277" s="4" t="str">
        <f t="shared" si="17"/>
        <v>Late</v>
      </c>
      <c r="J277" s="7">
        <f t="shared" si="18"/>
        <v>1.388888888888884E-3</v>
      </c>
      <c r="K277" s="14" t="str">
        <f t="shared" si="19"/>
        <v/>
      </c>
    </row>
    <row r="278" spans="1:11" x14ac:dyDescent="0.3">
      <c r="A278" s="15" t="str">
        <v>EMP040</v>
      </c>
      <c r="B278" s="5" t="str">
        <v>Ashwin G</v>
      </c>
      <c r="C278" s="5" t="str">
        <v>Noida</v>
      </c>
      <c r="D278" s="5" t="str">
        <v>Sales</v>
      </c>
      <c r="E278" s="5" t="str">
        <v>Area Sales Executive</v>
      </c>
      <c r="F278" s="5">
        <v>0.38541666666666669</v>
      </c>
      <c r="G278" s="5">
        <v>0.77986111111111101</v>
      </c>
      <c r="H278" s="6">
        <f t="shared" si="16"/>
        <v>0.35277777777777763</v>
      </c>
      <c r="I278" s="4" t="str">
        <f t="shared" si="17"/>
        <v>Present</v>
      </c>
      <c r="J278" s="7">
        <f t="shared" si="18"/>
        <v>0</v>
      </c>
      <c r="K278" s="14" t="str">
        <f t="shared" si="19"/>
        <v/>
      </c>
    </row>
    <row r="279" spans="1:11" x14ac:dyDescent="0.3">
      <c r="A279" s="15" t="str">
        <v>EMP060</v>
      </c>
      <c r="B279" s="5" t="str">
        <v>Yogesh R</v>
      </c>
      <c r="C279" s="5" t="str">
        <v>Kochi</v>
      </c>
      <c r="D279" s="5" t="str">
        <v>Sales</v>
      </c>
      <c r="E279" s="5" t="str">
        <v>Key Account Executive</v>
      </c>
      <c r="F279" s="5">
        <v>0.37847222222222227</v>
      </c>
      <c r="G279" s="5">
        <v>0.78888888888888886</v>
      </c>
      <c r="H279" s="6">
        <f t="shared" si="16"/>
        <v>0.36874999999999991</v>
      </c>
      <c r="I279" s="4" t="str">
        <f t="shared" si="17"/>
        <v>Present</v>
      </c>
      <c r="J279" s="7">
        <f t="shared" si="18"/>
        <v>0</v>
      </c>
      <c r="K279" s="14" t="str">
        <f t="shared" si="19"/>
        <v/>
      </c>
    </row>
    <row r="280" spans="1:11" x14ac:dyDescent="0.3">
      <c r="A280" s="15" t="str">
        <v>EMP088</v>
      </c>
      <c r="B280" s="5" t="str">
        <v>Ashwin R</v>
      </c>
      <c r="C280" s="5" t="str">
        <v>Pune</v>
      </c>
      <c r="D280" s="5" t="str">
        <v>Sales</v>
      </c>
      <c r="E280" s="5" t="str">
        <v>Senior Sales Executive</v>
      </c>
      <c r="F280" s="5">
        <v>0.3833333333333333</v>
      </c>
      <c r="G280" s="5">
        <v>0.78263888888888899</v>
      </c>
      <c r="H280" s="6">
        <f t="shared" si="16"/>
        <v>0.35763888888888901</v>
      </c>
      <c r="I280" s="4" t="str">
        <f t="shared" si="17"/>
        <v>Present</v>
      </c>
      <c r="J280" s="7">
        <f t="shared" si="18"/>
        <v>0</v>
      </c>
      <c r="K280" s="14" t="str">
        <f t="shared" si="19"/>
        <v/>
      </c>
    </row>
    <row r="281" spans="1:11" x14ac:dyDescent="0.3">
      <c r="A281" s="15" t="str">
        <v>EMP090</v>
      </c>
      <c r="B281" s="5" t="str">
        <v>Ajay K</v>
      </c>
      <c r="C281" s="5" t="str">
        <v>Kochi</v>
      </c>
      <c r="D281" s="5" t="str">
        <v>Sales</v>
      </c>
      <c r="E281" s="5" t="str">
        <v>Area Sales Executive</v>
      </c>
      <c r="F281" s="5">
        <v>0.39097222222222222</v>
      </c>
      <c r="G281" s="5">
        <v>0.77569444444444446</v>
      </c>
      <c r="H281" s="6">
        <f t="shared" si="16"/>
        <v>0.34305555555555556</v>
      </c>
      <c r="I281" s="4" t="str">
        <f t="shared" si="17"/>
        <v>Present</v>
      </c>
      <c r="J281" s="7">
        <f t="shared" si="18"/>
        <v>0</v>
      </c>
      <c r="K281" s="14" t="str">
        <f t="shared" si="19"/>
        <v/>
      </c>
    </row>
    <row r="282" spans="1:11" x14ac:dyDescent="0.3">
      <c r="A282" s="15" t="str">
        <v>EMP094</v>
      </c>
      <c r="B282" s="5" t="str">
        <v>Saravanan Kumar</v>
      </c>
      <c r="C282" s="5" t="str">
        <v>Coimbatore</v>
      </c>
      <c r="D282" s="5" t="str">
        <v>Sales</v>
      </c>
      <c r="E282" s="5" t="str">
        <v>Sales Executive</v>
      </c>
      <c r="F282" s="5">
        <v>0.37986111111111115</v>
      </c>
      <c r="G282" s="5">
        <v>0.78263888888888899</v>
      </c>
      <c r="H282" s="6">
        <f t="shared" si="16"/>
        <v>0.36111111111111116</v>
      </c>
      <c r="I282" s="4" t="str">
        <f t="shared" si="17"/>
        <v>Present</v>
      </c>
      <c r="J282" s="7">
        <f t="shared" si="18"/>
        <v>0</v>
      </c>
      <c r="K282" s="14" t="str">
        <f t="shared" si="19"/>
        <v/>
      </c>
    </row>
    <row r="283" spans="1:11" x14ac:dyDescent="0.3">
      <c r="A283" s="15" t="str">
        <v>EMP104</v>
      </c>
      <c r="B283" s="5" t="str">
        <v>Deepak P</v>
      </c>
      <c r="C283" s="5" t="str">
        <v>Delhi</v>
      </c>
      <c r="D283" s="5" t="str">
        <v>Sales</v>
      </c>
      <c r="E283" s="5" t="str">
        <v>Sales Manager</v>
      </c>
      <c r="F283" s="5">
        <v>0.39999999999999997</v>
      </c>
      <c r="G283" s="5">
        <v>0.7909722222222223</v>
      </c>
      <c r="H283" s="6">
        <f t="shared" si="16"/>
        <v>0.34930555555555565</v>
      </c>
      <c r="I283" s="4" t="str">
        <f t="shared" si="17"/>
        <v>Late</v>
      </c>
      <c r="J283" s="7">
        <f t="shared" si="18"/>
        <v>4.1666666666666519E-3</v>
      </c>
      <c r="K283" s="14" t="str">
        <f t="shared" si="19"/>
        <v/>
      </c>
    </row>
    <row r="284" spans="1:11" x14ac:dyDescent="0.3">
      <c r="A284" s="15" t="str">
        <v>EMP107</v>
      </c>
      <c r="B284" s="5" t="str">
        <v>Dinesh Narayanan</v>
      </c>
      <c r="C284" s="5" t="str">
        <v>Ahmedabad</v>
      </c>
      <c r="D284" s="5" t="str">
        <v>Sales</v>
      </c>
      <c r="E284" s="5" t="str">
        <v>Sales Manager</v>
      </c>
      <c r="F284" s="5">
        <v>0.39861111111111108</v>
      </c>
      <c r="G284" s="5">
        <v>0.77430555555555547</v>
      </c>
      <c r="H284" s="6">
        <f t="shared" si="16"/>
        <v>0.3340277777777777</v>
      </c>
      <c r="I284" s="4" t="str">
        <f t="shared" si="17"/>
        <v>Late</v>
      </c>
      <c r="J284" s="7">
        <f t="shared" si="18"/>
        <v>2.7777777777777679E-3</v>
      </c>
      <c r="K284" s="14" t="str">
        <f t="shared" si="19"/>
        <v/>
      </c>
    </row>
    <row r="285" spans="1:11" x14ac:dyDescent="0.3">
      <c r="A285" s="15" t="str">
        <v>EMP131</v>
      </c>
      <c r="B285" s="5" t="str">
        <v>Yuvaraj B</v>
      </c>
      <c r="C285" s="5" t="str">
        <v>Bengaluru</v>
      </c>
      <c r="D285" s="5" t="str">
        <v>Sales</v>
      </c>
      <c r="E285" s="5" t="str">
        <v>Senior Sales Executive</v>
      </c>
      <c r="F285" s="5">
        <v>0.37777777777777777</v>
      </c>
      <c r="G285" s="5">
        <v>0.78541666666666676</v>
      </c>
      <c r="H285" s="6">
        <f t="shared" si="16"/>
        <v>0.36597222222222231</v>
      </c>
      <c r="I285" s="4" t="str">
        <f t="shared" si="17"/>
        <v>Present</v>
      </c>
      <c r="J285" s="7">
        <f t="shared" si="18"/>
        <v>0</v>
      </c>
      <c r="K285" s="14" t="str">
        <f t="shared" si="19"/>
        <v/>
      </c>
    </row>
    <row r="286" spans="1:11" x14ac:dyDescent="0.3">
      <c r="A286" s="15" t="str">
        <v>EMP138</v>
      </c>
      <c r="B286" s="5" t="str">
        <v>Aravind G</v>
      </c>
      <c r="C286" s="5" t="str">
        <v>Bengaluru</v>
      </c>
      <c r="D286" s="5" t="str">
        <v>Sales</v>
      </c>
      <c r="E286" s="5" t="str">
        <v>Area Sales Executive</v>
      </c>
      <c r="F286" s="5">
        <v>0.3833333333333333</v>
      </c>
      <c r="G286" s="5">
        <v>0.77777777777777779</v>
      </c>
      <c r="H286" s="6">
        <f t="shared" si="16"/>
        <v>0.3527777777777778</v>
      </c>
      <c r="I286" s="4" t="str">
        <f t="shared" si="17"/>
        <v>Present</v>
      </c>
      <c r="J286" s="7">
        <f t="shared" si="18"/>
        <v>0</v>
      </c>
      <c r="K286" s="14" t="str">
        <f t="shared" si="19"/>
        <v/>
      </c>
    </row>
    <row r="287" spans="1:11" x14ac:dyDescent="0.3">
      <c r="A287" s="15" t="str">
        <v>EMP147</v>
      </c>
      <c r="B287" s="5" t="str">
        <v>Vinoth Krishnan</v>
      </c>
      <c r="C287" s="5" t="str">
        <v>Delhi</v>
      </c>
      <c r="D287" s="5" t="str">
        <v>Sales</v>
      </c>
      <c r="E287" s="5" t="str">
        <v>Sales Executive</v>
      </c>
      <c r="F287" s="5">
        <v>0.39097222222222222</v>
      </c>
      <c r="G287" s="5">
        <v>0.78888888888888886</v>
      </c>
      <c r="H287" s="6">
        <f t="shared" si="16"/>
        <v>0.35624999999999996</v>
      </c>
      <c r="I287" s="4" t="str">
        <f t="shared" si="17"/>
        <v>Present</v>
      </c>
      <c r="J287" s="7">
        <f t="shared" si="18"/>
        <v>0</v>
      </c>
      <c r="K287" s="14" t="str">
        <f t="shared" si="19"/>
        <v/>
      </c>
    </row>
    <row r="288" spans="1:11" x14ac:dyDescent="0.3">
      <c r="A288" s="15" t="str">
        <v>EMP153</v>
      </c>
      <c r="B288" s="5" t="str">
        <v>Ganesh M</v>
      </c>
      <c r="C288" s="5" t="str">
        <v>Ahmedabad</v>
      </c>
      <c r="D288" s="5" t="str">
        <v>Sales</v>
      </c>
      <c r="E288" s="5" t="str">
        <v>Area Sales Executive</v>
      </c>
      <c r="F288" s="5">
        <v>0.38263888888888892</v>
      </c>
      <c r="G288" s="5">
        <v>0.77638888888888891</v>
      </c>
      <c r="H288" s="6">
        <f t="shared" si="16"/>
        <v>0.3520833333333333</v>
      </c>
      <c r="I288" s="4" t="str">
        <f t="shared" si="17"/>
        <v>Present</v>
      </c>
      <c r="J288" s="7">
        <f t="shared" si="18"/>
        <v>0</v>
      </c>
      <c r="K288" s="14" t="str">
        <f t="shared" si="19"/>
        <v/>
      </c>
    </row>
    <row r="289" spans="1:11" x14ac:dyDescent="0.3">
      <c r="A289" s="15" t="str">
        <v>EMP161</v>
      </c>
      <c r="B289" s="5" t="str">
        <v>Deepak G</v>
      </c>
      <c r="C289" s="5" t="str">
        <v>Chennai</v>
      </c>
      <c r="D289" s="5" t="str">
        <v>Sales</v>
      </c>
      <c r="E289" s="5" t="str">
        <v>Key Account Executive</v>
      </c>
      <c r="F289" s="5">
        <v>0.37986111111111115</v>
      </c>
      <c r="G289" s="5">
        <v>0.77083333333333337</v>
      </c>
      <c r="H289" s="6">
        <f t="shared" si="16"/>
        <v>0.34930555555555554</v>
      </c>
      <c r="I289" s="4" t="str">
        <f t="shared" si="17"/>
        <v>Present</v>
      </c>
      <c r="J289" s="7">
        <f t="shared" si="18"/>
        <v>0</v>
      </c>
      <c r="K289" s="14" t="str">
        <f t="shared" si="19"/>
        <v/>
      </c>
    </row>
    <row r="290" spans="1:11" x14ac:dyDescent="0.3">
      <c r="A290" s="15" t="str">
        <v>EMP212</v>
      </c>
      <c r="B290" s="5" t="str">
        <v>Harish P</v>
      </c>
      <c r="C290" s="5" t="str">
        <v>Ahmedabad</v>
      </c>
      <c r="D290" s="5" t="str">
        <v>Sales</v>
      </c>
      <c r="E290" s="5" t="str">
        <v>Key Account Executive</v>
      </c>
      <c r="F290" s="5">
        <v>0.375</v>
      </c>
      <c r="G290" s="5">
        <v>0.79027777777777775</v>
      </c>
      <c r="H290" s="6">
        <f t="shared" si="16"/>
        <v>0.37361111111111106</v>
      </c>
      <c r="I290" s="4" t="str">
        <f t="shared" si="17"/>
        <v>Present</v>
      </c>
      <c r="J290" s="7">
        <f t="shared" si="18"/>
        <v>0</v>
      </c>
      <c r="K290" s="14" t="str">
        <f t="shared" si="19"/>
        <v/>
      </c>
    </row>
    <row r="291" spans="1:11" x14ac:dyDescent="0.3">
      <c r="A291" s="15" t="str">
        <v>EMP217</v>
      </c>
      <c r="B291" s="5" t="str">
        <v>Praveen Raj</v>
      </c>
      <c r="C291" s="5" t="str">
        <v>Ahmedabad</v>
      </c>
      <c r="D291" s="5" t="str">
        <v>Sales</v>
      </c>
      <c r="E291" s="5" t="str">
        <v>Senior Sales Executive</v>
      </c>
      <c r="F291" s="5">
        <v>0.40347222222222223</v>
      </c>
      <c r="G291" s="5"/>
      <c r="H291" s="6">
        <f t="shared" si="16"/>
        <v>0</v>
      </c>
      <c r="I291" s="4" t="str">
        <f t="shared" si="17"/>
        <v>Late</v>
      </c>
      <c r="J291" s="7">
        <f t="shared" si="18"/>
        <v>7.6388888888889173E-3</v>
      </c>
      <c r="K291" s="14" t="str">
        <f t="shared" si="19"/>
        <v>On Duty</v>
      </c>
    </row>
    <row r="292" spans="1:11" x14ac:dyDescent="0.3">
      <c r="A292" s="15" t="str">
        <v>EMP236</v>
      </c>
      <c r="B292" s="5" t="str">
        <v>Mohan T</v>
      </c>
      <c r="C292" s="5" t="str">
        <v>Chennai</v>
      </c>
      <c r="D292" s="5" t="str">
        <v>Sales</v>
      </c>
      <c r="E292" s="5" t="str">
        <v>Senior Sales Executive</v>
      </c>
      <c r="F292" s="5">
        <v>0.3888888888888889</v>
      </c>
      <c r="G292" s="5"/>
      <c r="H292" s="6">
        <f t="shared" si="16"/>
        <v>0</v>
      </c>
      <c r="I292" s="4" t="str">
        <f t="shared" si="17"/>
        <v>Present</v>
      </c>
      <c r="J292" s="7">
        <f t="shared" si="18"/>
        <v>0</v>
      </c>
      <c r="K292" s="14" t="str">
        <f t="shared" si="19"/>
        <v>On Duty</v>
      </c>
    </row>
    <row r="293" spans="1:11" x14ac:dyDescent="0.3">
      <c r="A293" s="15" t="str">
        <v>EMP240</v>
      </c>
      <c r="B293" s="5" t="str">
        <v>Naveen K</v>
      </c>
      <c r="C293" s="5" t="str">
        <v>Mumbai</v>
      </c>
      <c r="D293" s="5" t="str">
        <v>Sales</v>
      </c>
      <c r="E293" s="5" t="str">
        <v>Senior Sales Executive</v>
      </c>
      <c r="F293" s="5">
        <v>0.38472222222222219</v>
      </c>
      <c r="G293" s="5"/>
      <c r="H293" s="6">
        <f t="shared" si="16"/>
        <v>0</v>
      </c>
      <c r="I293" s="4" t="str">
        <f t="shared" si="17"/>
        <v>Present</v>
      </c>
      <c r="J293" s="7">
        <f t="shared" si="18"/>
        <v>0</v>
      </c>
      <c r="K293" s="14" t="str">
        <f t="shared" si="19"/>
        <v>On Duty</v>
      </c>
    </row>
    <row r="294" spans="1:11" x14ac:dyDescent="0.3">
      <c r="A294" s="15" t="str">
        <v>EMP241</v>
      </c>
      <c r="B294" s="5" t="str">
        <v>Ajay M</v>
      </c>
      <c r="C294" s="5" t="str">
        <v>Kochi</v>
      </c>
      <c r="D294" s="5" t="str">
        <v>Sales</v>
      </c>
      <c r="E294" s="5" t="str">
        <v>Key Account Executive</v>
      </c>
      <c r="F294" s="5">
        <v>0.37708333333333338</v>
      </c>
      <c r="G294" s="5">
        <v>0.78194444444444444</v>
      </c>
      <c r="H294" s="6">
        <f t="shared" si="16"/>
        <v>0.36319444444444438</v>
      </c>
      <c r="I294" s="4" t="str">
        <f t="shared" si="17"/>
        <v>Present</v>
      </c>
      <c r="J294" s="7">
        <f t="shared" si="18"/>
        <v>0</v>
      </c>
      <c r="K294" s="14" t="str">
        <f t="shared" si="19"/>
        <v/>
      </c>
    </row>
    <row r="295" spans="1:11" x14ac:dyDescent="0.3">
      <c r="A295" s="15" t="str">
        <v>EMP251</v>
      </c>
      <c r="B295" s="5" t="str">
        <v>Harish Raj</v>
      </c>
      <c r="C295" s="5" t="str">
        <v>Noida</v>
      </c>
      <c r="D295" s="5" t="str">
        <v>Sales</v>
      </c>
      <c r="E295" s="5" t="str">
        <v>Area Sales Executive</v>
      </c>
      <c r="F295" s="5">
        <v>0.37916666666666665</v>
      </c>
      <c r="G295" s="5">
        <v>0.77916666666666667</v>
      </c>
      <c r="H295" s="6">
        <f t="shared" si="16"/>
        <v>0.35833333333333334</v>
      </c>
      <c r="I295" s="4" t="str">
        <f t="shared" si="17"/>
        <v>Present</v>
      </c>
      <c r="J295" s="7">
        <f t="shared" si="18"/>
        <v>0</v>
      </c>
      <c r="K295" s="14" t="str">
        <f t="shared" si="19"/>
        <v/>
      </c>
    </row>
    <row r="296" spans="1:11" x14ac:dyDescent="0.3">
      <c r="A296" s="15" t="str">
        <v>EMP254</v>
      </c>
      <c r="B296" s="5" t="str">
        <v>Nithin Prasad</v>
      </c>
      <c r="C296" s="5" t="str">
        <v>Bengaluru</v>
      </c>
      <c r="D296" s="5" t="str">
        <v>Sales</v>
      </c>
      <c r="E296" s="5" t="str">
        <v>Key Account Executive</v>
      </c>
      <c r="F296" s="5">
        <v>0.40069444444444446</v>
      </c>
      <c r="G296" s="5">
        <v>0.77361111111111114</v>
      </c>
      <c r="H296" s="6">
        <f t="shared" si="16"/>
        <v>0.33124999999999999</v>
      </c>
      <c r="I296" s="4" t="str">
        <f t="shared" si="17"/>
        <v>Late</v>
      </c>
      <c r="J296" s="7">
        <f t="shared" si="18"/>
        <v>4.8611111111111494E-3</v>
      </c>
      <c r="K296" s="14" t="str">
        <f t="shared" si="19"/>
        <v/>
      </c>
    </row>
    <row r="297" spans="1:11" x14ac:dyDescent="0.3">
      <c r="A297" s="15" t="str">
        <v>EMP258</v>
      </c>
      <c r="B297" s="5" t="str">
        <v>Madhan Kannan</v>
      </c>
      <c r="C297" s="5" t="str">
        <v>Delhi</v>
      </c>
      <c r="D297" s="5" t="str">
        <v>Sales</v>
      </c>
      <c r="E297" s="5" t="str">
        <v>Sales Executive</v>
      </c>
      <c r="F297" s="5">
        <v>0.4055555555555555</v>
      </c>
      <c r="G297" s="5"/>
      <c r="H297" s="6">
        <f t="shared" si="16"/>
        <v>0</v>
      </c>
      <c r="I297" s="4" t="str">
        <f t="shared" si="17"/>
        <v>Late</v>
      </c>
      <c r="J297" s="7">
        <f t="shared" si="18"/>
        <v>9.7222222222221877E-3</v>
      </c>
      <c r="K297" s="14" t="str">
        <f t="shared" si="19"/>
        <v>On Duty</v>
      </c>
    </row>
    <row r="298" spans="1:11" x14ac:dyDescent="0.3">
      <c r="A298" s="15" t="str">
        <v>EMP260</v>
      </c>
      <c r="B298" s="5" t="str">
        <v>Lokesh Babu</v>
      </c>
      <c r="C298" s="5" t="str">
        <v>Mumbai</v>
      </c>
      <c r="D298" s="5" t="str">
        <v>Sales</v>
      </c>
      <c r="E298" s="5" t="str">
        <v>Key Account Executive</v>
      </c>
      <c r="F298" s="5">
        <v>0.38680555555555557</v>
      </c>
      <c r="G298" s="5">
        <v>0.77569444444444446</v>
      </c>
      <c r="H298" s="6">
        <f t="shared" si="16"/>
        <v>0.34722222222222221</v>
      </c>
      <c r="I298" s="4" t="str">
        <f t="shared" si="17"/>
        <v>Present</v>
      </c>
      <c r="J298" s="7">
        <f t="shared" si="18"/>
        <v>0</v>
      </c>
      <c r="K298" s="14" t="str">
        <f t="shared" si="19"/>
        <v/>
      </c>
    </row>
    <row r="299" spans="1:11" x14ac:dyDescent="0.3">
      <c r="A299" s="15" t="str">
        <v>EMP265</v>
      </c>
      <c r="B299" s="5" t="str">
        <v>Dinesh Babu</v>
      </c>
      <c r="C299" s="5" t="str">
        <v>Kochi</v>
      </c>
      <c r="D299" s="5" t="str">
        <v>Sales</v>
      </c>
      <c r="E299" s="5" t="str">
        <v>Key Account Executive</v>
      </c>
      <c r="F299" s="5">
        <v>0.3840277777777778</v>
      </c>
      <c r="G299" s="5">
        <v>0.78402777777777777</v>
      </c>
      <c r="H299" s="6">
        <f t="shared" si="16"/>
        <v>0.35833333333333328</v>
      </c>
      <c r="I299" s="4" t="str">
        <f t="shared" si="17"/>
        <v>Present</v>
      </c>
      <c r="J299" s="7">
        <f t="shared" si="18"/>
        <v>0</v>
      </c>
      <c r="K299" s="14" t="str">
        <f t="shared" si="19"/>
        <v/>
      </c>
    </row>
    <row r="300" spans="1:11" x14ac:dyDescent="0.3">
      <c r="A300" s="15" t="str">
        <v>EMP267</v>
      </c>
      <c r="B300" s="5" t="str">
        <v>Ajay T</v>
      </c>
      <c r="C300" s="5" t="str">
        <v>Bengaluru</v>
      </c>
      <c r="D300" s="5" t="str">
        <v>Sales</v>
      </c>
      <c r="E300" s="5" t="str">
        <v>Sales Manager</v>
      </c>
      <c r="F300" s="5">
        <v>0.38055555555555554</v>
      </c>
      <c r="G300" s="5">
        <v>0.78541666666666676</v>
      </c>
      <c r="H300" s="6">
        <f t="shared" si="16"/>
        <v>0.36319444444444454</v>
      </c>
      <c r="I300" s="4" t="str">
        <f t="shared" si="17"/>
        <v>Present</v>
      </c>
      <c r="J300" s="7">
        <f t="shared" si="18"/>
        <v>0</v>
      </c>
      <c r="K300" s="14" t="str">
        <f t="shared" si="19"/>
        <v/>
      </c>
    </row>
    <row r="301" spans="1:11" x14ac:dyDescent="0.3">
      <c r="A301" s="15" t="str">
        <v>EMP295</v>
      </c>
      <c r="B301" s="5" t="str">
        <v>Praveen M</v>
      </c>
      <c r="C301" s="5" t="str">
        <v>Delhi</v>
      </c>
      <c r="D301" s="5" t="str">
        <v>Sales</v>
      </c>
      <c r="E301" s="5" t="str">
        <v>Key Account Executive</v>
      </c>
      <c r="F301" s="5"/>
      <c r="G301" s="5"/>
      <c r="H301" s="6">
        <f t="shared" si="16"/>
        <v>0</v>
      </c>
      <c r="I301" s="4" t="str">
        <f t="shared" si="17"/>
        <v>Absent</v>
      </c>
      <c r="J301" s="7" t="str">
        <f t="shared" si="18"/>
        <v/>
      </c>
      <c r="K301" s="14" t="str">
        <f t="shared" si="19"/>
        <v/>
      </c>
    </row>
    <row r="302" spans="1:11" ht="15" thickBot="1" x14ac:dyDescent="0.35">
      <c r="A302" s="16" t="str">
        <v>EMP296</v>
      </c>
      <c r="B302" s="17" t="str">
        <v>Sanjay B</v>
      </c>
      <c r="C302" s="17" t="str">
        <v>Mumbai</v>
      </c>
      <c r="D302" s="17" t="str">
        <v>Sales</v>
      </c>
      <c r="E302" s="17" t="str">
        <v>Senior Sales Executive</v>
      </c>
      <c r="F302" s="17">
        <v>0.38611111111111113</v>
      </c>
      <c r="G302" s="17"/>
      <c r="H302" s="18">
        <f t="shared" si="16"/>
        <v>0</v>
      </c>
      <c r="I302" s="11" t="str">
        <f t="shared" si="17"/>
        <v>Present</v>
      </c>
      <c r="J302" s="19">
        <f t="shared" si="18"/>
        <v>0</v>
      </c>
      <c r="K302" s="20" t="str">
        <f t="shared" si="19"/>
        <v>On Duty</v>
      </c>
    </row>
  </sheetData>
  <mergeCells count="1">
    <mergeCell ref="A1:K1"/>
  </mergeCells>
  <conditionalFormatting sqref="A3:K302">
    <cfRule type="expression" dxfId="5" priority="4">
      <formula>$K3="On Duty"</formula>
    </cfRule>
    <cfRule type="expression" dxfId="4" priority="5">
      <formula>$F3=""</formula>
    </cfRule>
  </conditionalFormatting>
  <conditionalFormatting sqref="I3:I302">
    <cfRule type="expression" dxfId="3" priority="2">
      <formula>$I3="Absent"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1B85-CE36-4CF1-9B68-A38B94EF4314}">
  <dimension ref="A1:I302"/>
  <sheetViews>
    <sheetView workbookViewId="0">
      <pane ySplit="2" topLeftCell="A283" activePane="bottomLeft" state="frozen"/>
      <selection pane="bottomLeft" activeCell="F283" sqref="F283"/>
    </sheetView>
  </sheetViews>
  <sheetFormatPr defaultRowHeight="14.4" x14ac:dyDescent="0.3"/>
  <cols>
    <col min="1" max="1" width="21" bestFit="1" customWidth="1"/>
    <col min="2" max="2" width="19" bestFit="1" customWidth="1"/>
    <col min="3" max="3" width="19.5546875" bestFit="1" customWidth="1"/>
    <col min="4" max="4" width="9.109375" bestFit="1" customWidth="1"/>
    <col min="5" max="5" width="8.44140625" bestFit="1" customWidth="1"/>
    <col min="6" max="6" width="7.21875" bestFit="1" customWidth="1"/>
    <col min="7" max="7" width="11.109375" bestFit="1" customWidth="1"/>
    <col min="8" max="8" width="13.6640625" bestFit="1" customWidth="1"/>
    <col min="9" max="9" width="25.6640625" bestFit="1" customWidth="1"/>
  </cols>
  <sheetData>
    <row r="1" spans="1:9" ht="46.8" thickTop="1" x14ac:dyDescent="0.3">
      <c r="A1" s="51" t="s">
        <v>703</v>
      </c>
      <c r="B1" s="52"/>
      <c r="C1" s="52"/>
      <c r="D1" s="52"/>
      <c r="E1" s="52"/>
      <c r="F1" s="52"/>
      <c r="G1" s="52"/>
      <c r="H1" s="52"/>
      <c r="I1" s="53"/>
    </row>
    <row r="2" spans="1:9" s="9" customFormat="1" ht="18" x14ac:dyDescent="0.35">
      <c r="A2" s="21" t="s">
        <v>689</v>
      </c>
      <c r="B2" s="21" t="s">
        <v>690</v>
      </c>
      <c r="C2" s="21" t="s">
        <v>3</v>
      </c>
      <c r="D2" s="21" t="s">
        <v>698</v>
      </c>
      <c r="E2" s="21" t="s">
        <v>699</v>
      </c>
      <c r="F2" s="21" t="s">
        <v>700</v>
      </c>
      <c r="G2" s="21" t="s">
        <v>701</v>
      </c>
      <c r="H2" s="21" t="s">
        <v>693</v>
      </c>
      <c r="I2" s="21" t="s">
        <v>702</v>
      </c>
    </row>
    <row r="3" spans="1:9" x14ac:dyDescent="0.3">
      <c r="A3" s="22" t="str" cm="1">
        <f t="array" ref="A3:B302">_xlfn.SORTBY('EMPLOYEE MASTER DATA'!A4:B303,'EMPLOYEE MASTER DATA'!A4:A303,1)</f>
        <v>EMP001</v>
      </c>
      <c r="B3" s="22" t="str">
        <v>Vijay V</v>
      </c>
      <c r="C3" s="22" t="str">
        <f>_xlfn.XLOOKUP('MONTHLY ATTENDANCE SUMMARY'!A3,'EMPLOYEE MASTER DATA'!A4:A303,'EMPLOYEE MASTER DATA'!D4:D303)</f>
        <v>Production</v>
      </c>
      <c r="D3" s="22">
        <v>18</v>
      </c>
      <c r="E3" s="22">
        <f t="shared" ref="E3:E66" si="0">MAX(0,24-(D3+F3))</f>
        <v>4</v>
      </c>
      <c r="F3" s="22">
        <v>2</v>
      </c>
      <c r="G3" s="22">
        <v>4</v>
      </c>
      <c r="H3" s="23">
        <f t="shared" ref="H3:H66" si="1">D3*TIME(8,30,0)</f>
        <v>6.375</v>
      </c>
      <c r="I3" s="24">
        <f t="shared" ref="I3:I66" si="2">IF(D3+E3+F3=0,0,D3/(D3+E3+F3))</f>
        <v>0.75</v>
      </c>
    </row>
    <row r="4" spans="1:9" x14ac:dyDescent="0.3">
      <c r="A4" s="22" t="str">
        <v>EMP002</v>
      </c>
      <c r="B4" s="22" t="str">
        <v>Sathish V</v>
      </c>
      <c r="C4" s="22" t="str">
        <f>_xlfn.XLOOKUP('MONTHLY ATTENDANCE SUMMARY'!A4,'EMPLOYEE MASTER DATA'!A5:A304,'EMPLOYEE MASTER DATA'!D5:D304)</f>
        <v>Production</v>
      </c>
      <c r="D4" s="22">
        <v>20</v>
      </c>
      <c r="E4" s="22">
        <f t="shared" si="0"/>
        <v>2</v>
      </c>
      <c r="F4" s="22">
        <v>2</v>
      </c>
      <c r="G4" s="22">
        <v>4</v>
      </c>
      <c r="H4" s="23">
        <f t="shared" si="1"/>
        <v>7.0833333333333339</v>
      </c>
      <c r="I4" s="24">
        <f t="shared" si="2"/>
        <v>0.83333333333333337</v>
      </c>
    </row>
    <row r="5" spans="1:9" x14ac:dyDescent="0.3">
      <c r="A5" s="22" t="str">
        <v>EMP003</v>
      </c>
      <c r="B5" s="22" t="str">
        <v>Aravind B</v>
      </c>
      <c r="C5" s="22" t="str">
        <f>_xlfn.XLOOKUP('MONTHLY ATTENDANCE SUMMARY'!A5,'EMPLOYEE MASTER DATA'!A6:A305,'EMPLOYEE MASTER DATA'!D6:D305)</f>
        <v>Business Development</v>
      </c>
      <c r="D5" s="22">
        <v>22</v>
      </c>
      <c r="E5" s="22">
        <f t="shared" si="0"/>
        <v>1</v>
      </c>
      <c r="F5" s="22">
        <v>1</v>
      </c>
      <c r="G5" s="22">
        <v>4</v>
      </c>
      <c r="H5" s="23">
        <f t="shared" si="1"/>
        <v>7.791666666666667</v>
      </c>
      <c r="I5" s="24">
        <f t="shared" si="2"/>
        <v>0.91666666666666663</v>
      </c>
    </row>
    <row r="6" spans="1:9" x14ac:dyDescent="0.3">
      <c r="A6" s="22" t="str">
        <v>EMP004</v>
      </c>
      <c r="B6" s="22" t="str">
        <v>Ramesh Kumar</v>
      </c>
      <c r="C6" s="22" t="str">
        <f>_xlfn.XLOOKUP('MONTHLY ATTENDANCE SUMMARY'!A6,'EMPLOYEE MASTER DATA'!A7:A306,'EMPLOYEE MASTER DATA'!D7:D306)</f>
        <v>Front Office</v>
      </c>
      <c r="D6" s="22">
        <v>22</v>
      </c>
      <c r="E6" s="22">
        <f t="shared" si="0"/>
        <v>1</v>
      </c>
      <c r="F6" s="22">
        <v>1</v>
      </c>
      <c r="G6" s="22">
        <v>4</v>
      </c>
      <c r="H6" s="23">
        <f t="shared" si="1"/>
        <v>7.791666666666667</v>
      </c>
      <c r="I6" s="24">
        <f t="shared" si="2"/>
        <v>0.91666666666666663</v>
      </c>
    </row>
    <row r="7" spans="1:9" x14ac:dyDescent="0.3">
      <c r="A7" s="22" t="str">
        <v>EMP005</v>
      </c>
      <c r="B7" s="22" t="str">
        <v>Naveen Kumar</v>
      </c>
      <c r="C7" s="22" t="str">
        <f>_xlfn.XLOOKUP('MONTHLY ATTENDANCE SUMMARY'!A7,'EMPLOYEE MASTER DATA'!A8:A307,'EMPLOYEE MASTER DATA'!D8:D307)</f>
        <v>Front Office</v>
      </c>
      <c r="D7" s="22">
        <v>18</v>
      </c>
      <c r="E7" s="22">
        <f t="shared" si="0"/>
        <v>5</v>
      </c>
      <c r="F7" s="22">
        <v>1</v>
      </c>
      <c r="G7" s="22">
        <v>4</v>
      </c>
      <c r="H7" s="23">
        <f t="shared" si="1"/>
        <v>6.375</v>
      </c>
      <c r="I7" s="24">
        <f t="shared" si="2"/>
        <v>0.75</v>
      </c>
    </row>
    <row r="8" spans="1:9" x14ac:dyDescent="0.3">
      <c r="A8" s="22" t="str">
        <v>EMP006</v>
      </c>
      <c r="B8" s="22" t="str">
        <v>Karthik T</v>
      </c>
      <c r="C8" s="22" t="str">
        <f>_xlfn.XLOOKUP('MONTHLY ATTENDANCE SUMMARY'!A8,'EMPLOYEE MASTER DATA'!A9:A308,'EMPLOYEE MASTER DATA'!D9:D308)</f>
        <v>Admin</v>
      </c>
      <c r="D8" s="22">
        <v>18</v>
      </c>
      <c r="E8" s="22">
        <f t="shared" si="0"/>
        <v>4</v>
      </c>
      <c r="F8" s="22">
        <v>2</v>
      </c>
      <c r="G8" s="22">
        <v>4</v>
      </c>
      <c r="H8" s="23">
        <f t="shared" si="1"/>
        <v>6.375</v>
      </c>
      <c r="I8" s="24">
        <f t="shared" si="2"/>
        <v>0.75</v>
      </c>
    </row>
    <row r="9" spans="1:9" x14ac:dyDescent="0.3">
      <c r="A9" s="22" t="str">
        <v>EMP007</v>
      </c>
      <c r="B9" s="22" t="str">
        <v>Arun B</v>
      </c>
      <c r="C9" s="22" t="str">
        <f>_xlfn.XLOOKUP('MONTHLY ATTENDANCE SUMMARY'!A9,'EMPLOYEE MASTER DATA'!A10:A309,'EMPLOYEE MASTER DATA'!D10:D309)</f>
        <v>Admin</v>
      </c>
      <c r="D9" s="22">
        <v>13</v>
      </c>
      <c r="E9" s="22">
        <f t="shared" si="0"/>
        <v>10</v>
      </c>
      <c r="F9" s="22">
        <v>1</v>
      </c>
      <c r="G9" s="22">
        <v>4</v>
      </c>
      <c r="H9" s="23">
        <f t="shared" si="1"/>
        <v>4.604166666666667</v>
      </c>
      <c r="I9" s="24">
        <f t="shared" si="2"/>
        <v>0.54166666666666663</v>
      </c>
    </row>
    <row r="10" spans="1:9" x14ac:dyDescent="0.3">
      <c r="A10" s="22" t="str">
        <v>EMP008</v>
      </c>
      <c r="B10" s="22" t="str">
        <v>Sathish G</v>
      </c>
      <c r="C10" s="22" t="str">
        <f>_xlfn.XLOOKUP('MONTHLY ATTENDANCE SUMMARY'!A10,'EMPLOYEE MASTER DATA'!A11:A310,'EMPLOYEE MASTER DATA'!D11:D310)</f>
        <v>Accounts</v>
      </c>
      <c r="D10" s="22">
        <v>18</v>
      </c>
      <c r="E10" s="22">
        <f t="shared" si="0"/>
        <v>4</v>
      </c>
      <c r="F10" s="22">
        <v>2</v>
      </c>
      <c r="G10" s="22">
        <v>4</v>
      </c>
      <c r="H10" s="23">
        <f t="shared" si="1"/>
        <v>6.375</v>
      </c>
      <c r="I10" s="24">
        <f t="shared" si="2"/>
        <v>0.75</v>
      </c>
    </row>
    <row r="11" spans="1:9" x14ac:dyDescent="0.3">
      <c r="A11" s="22" t="str">
        <v>EMP009</v>
      </c>
      <c r="B11" s="22" t="str">
        <v>Yuvaraj Babu</v>
      </c>
      <c r="C11" s="22" t="str">
        <f>_xlfn.XLOOKUP('MONTHLY ATTENDANCE SUMMARY'!A11,'EMPLOYEE MASTER DATA'!A12:A311,'EMPLOYEE MASTER DATA'!D12:D311)</f>
        <v>Sales</v>
      </c>
      <c r="D11" s="22">
        <v>22</v>
      </c>
      <c r="E11" s="22">
        <f t="shared" si="0"/>
        <v>1</v>
      </c>
      <c r="F11" s="22">
        <v>1</v>
      </c>
      <c r="G11" s="22">
        <v>4</v>
      </c>
      <c r="H11" s="23">
        <f t="shared" si="1"/>
        <v>7.791666666666667</v>
      </c>
      <c r="I11" s="24">
        <f t="shared" si="2"/>
        <v>0.91666666666666663</v>
      </c>
    </row>
    <row r="12" spans="1:9" x14ac:dyDescent="0.3">
      <c r="A12" s="22" t="str">
        <v>EMP010</v>
      </c>
      <c r="B12" s="22" t="str">
        <v>Sanjay G</v>
      </c>
      <c r="C12" s="22" t="str">
        <f>_xlfn.XLOOKUP('MONTHLY ATTENDANCE SUMMARY'!A12,'EMPLOYEE MASTER DATA'!A13:A312,'EMPLOYEE MASTER DATA'!D13:D312)</f>
        <v>Procurement</v>
      </c>
      <c r="D12" s="22">
        <v>22</v>
      </c>
      <c r="E12" s="22">
        <f t="shared" si="0"/>
        <v>1</v>
      </c>
      <c r="F12" s="22">
        <v>1</v>
      </c>
      <c r="G12" s="22">
        <v>4</v>
      </c>
      <c r="H12" s="23">
        <f t="shared" si="1"/>
        <v>7.791666666666667</v>
      </c>
      <c r="I12" s="24">
        <f t="shared" si="2"/>
        <v>0.91666666666666663</v>
      </c>
    </row>
    <row r="13" spans="1:9" x14ac:dyDescent="0.3">
      <c r="A13" s="22" t="str">
        <v>EMP011</v>
      </c>
      <c r="B13" s="22" t="str">
        <v>Vijay T</v>
      </c>
      <c r="C13" s="22" t="str">
        <f>_xlfn.XLOOKUP('MONTHLY ATTENDANCE SUMMARY'!A13,'EMPLOYEE MASTER DATA'!A14:A313,'EMPLOYEE MASTER DATA'!D14:D313)</f>
        <v>Accounts</v>
      </c>
      <c r="D13" s="22">
        <v>21</v>
      </c>
      <c r="E13" s="22">
        <f t="shared" si="0"/>
        <v>2</v>
      </c>
      <c r="F13" s="22">
        <v>1</v>
      </c>
      <c r="G13" s="22">
        <v>4</v>
      </c>
      <c r="H13" s="23">
        <f t="shared" si="1"/>
        <v>7.4375</v>
      </c>
      <c r="I13" s="24">
        <f t="shared" si="2"/>
        <v>0.875</v>
      </c>
    </row>
    <row r="14" spans="1:9" x14ac:dyDescent="0.3">
      <c r="A14" s="22" t="str">
        <v>EMP012</v>
      </c>
      <c r="B14" s="22" t="str">
        <v>Mohan M</v>
      </c>
      <c r="C14" s="22" t="str">
        <f>_xlfn.XLOOKUP('MONTHLY ATTENDANCE SUMMARY'!A14,'EMPLOYEE MASTER DATA'!A15:A314,'EMPLOYEE MASTER DATA'!D15:D314)</f>
        <v>Admin</v>
      </c>
      <c r="D14" s="22">
        <v>19</v>
      </c>
      <c r="E14" s="22">
        <f t="shared" si="0"/>
        <v>4</v>
      </c>
      <c r="F14" s="22">
        <v>1</v>
      </c>
      <c r="G14" s="22">
        <v>4</v>
      </c>
      <c r="H14" s="23">
        <f t="shared" si="1"/>
        <v>6.729166666666667</v>
      </c>
      <c r="I14" s="24">
        <f t="shared" si="2"/>
        <v>0.79166666666666663</v>
      </c>
    </row>
    <row r="15" spans="1:9" x14ac:dyDescent="0.3">
      <c r="A15" s="22" t="str">
        <v>EMP013</v>
      </c>
      <c r="B15" s="22" t="str">
        <v>Madhan Selvam</v>
      </c>
      <c r="C15" s="22" t="str">
        <f>_xlfn.XLOOKUP('MONTHLY ATTENDANCE SUMMARY'!A15,'EMPLOYEE MASTER DATA'!A16:A315,'EMPLOYEE MASTER DATA'!D16:D315)</f>
        <v>Accounts</v>
      </c>
      <c r="D15" s="22">
        <v>21</v>
      </c>
      <c r="E15" s="22">
        <f t="shared" si="0"/>
        <v>1</v>
      </c>
      <c r="F15" s="22">
        <v>2</v>
      </c>
      <c r="G15" s="22">
        <v>4</v>
      </c>
      <c r="H15" s="23">
        <f t="shared" si="1"/>
        <v>7.4375</v>
      </c>
      <c r="I15" s="24">
        <f t="shared" si="2"/>
        <v>0.875</v>
      </c>
    </row>
    <row r="16" spans="1:9" x14ac:dyDescent="0.3">
      <c r="A16" s="22" t="str">
        <v>EMP014</v>
      </c>
      <c r="B16" s="22" t="str">
        <v>Vignesh P</v>
      </c>
      <c r="C16" s="22" t="str">
        <f>_xlfn.XLOOKUP('MONTHLY ATTENDANCE SUMMARY'!A16,'EMPLOYEE MASTER DATA'!A17:A316,'EMPLOYEE MASTER DATA'!D17:D316)</f>
        <v>IT</v>
      </c>
      <c r="D16" s="22">
        <v>21</v>
      </c>
      <c r="E16" s="22">
        <f t="shared" si="0"/>
        <v>2</v>
      </c>
      <c r="F16" s="22">
        <v>1</v>
      </c>
      <c r="G16" s="22">
        <v>4</v>
      </c>
      <c r="H16" s="23">
        <f t="shared" si="1"/>
        <v>7.4375</v>
      </c>
      <c r="I16" s="24">
        <f t="shared" si="2"/>
        <v>0.875</v>
      </c>
    </row>
    <row r="17" spans="1:9" x14ac:dyDescent="0.3">
      <c r="A17" s="22" t="str">
        <v>EMP015</v>
      </c>
      <c r="B17" s="22" t="str">
        <v>Yogesh Babu</v>
      </c>
      <c r="C17" s="22" t="str">
        <f>_xlfn.XLOOKUP('MONTHLY ATTENDANCE SUMMARY'!A17,'EMPLOYEE MASTER DATA'!A18:A317,'EMPLOYEE MASTER DATA'!D18:D317)</f>
        <v>Admin</v>
      </c>
      <c r="D17" s="22">
        <v>20</v>
      </c>
      <c r="E17" s="22">
        <f t="shared" si="0"/>
        <v>3</v>
      </c>
      <c r="F17" s="22">
        <v>1</v>
      </c>
      <c r="G17" s="22">
        <v>4</v>
      </c>
      <c r="H17" s="23">
        <f t="shared" si="1"/>
        <v>7.0833333333333339</v>
      </c>
      <c r="I17" s="24">
        <f t="shared" si="2"/>
        <v>0.83333333333333337</v>
      </c>
    </row>
    <row r="18" spans="1:9" x14ac:dyDescent="0.3">
      <c r="A18" s="22" t="str">
        <v>EMP016</v>
      </c>
      <c r="B18" s="22" t="str">
        <v>Lokesh R</v>
      </c>
      <c r="C18" s="22" t="str">
        <f>_xlfn.XLOOKUP('MONTHLY ATTENDANCE SUMMARY'!A18,'EMPLOYEE MASTER DATA'!A19:A318,'EMPLOYEE MASTER DATA'!D19:D318)</f>
        <v>Procurement</v>
      </c>
      <c r="D18" s="22">
        <v>21</v>
      </c>
      <c r="E18" s="22">
        <f t="shared" si="0"/>
        <v>2</v>
      </c>
      <c r="F18" s="22">
        <v>1</v>
      </c>
      <c r="G18" s="22">
        <v>4</v>
      </c>
      <c r="H18" s="23">
        <f t="shared" si="1"/>
        <v>7.4375</v>
      </c>
      <c r="I18" s="24">
        <f t="shared" si="2"/>
        <v>0.875</v>
      </c>
    </row>
    <row r="19" spans="1:9" x14ac:dyDescent="0.3">
      <c r="A19" s="22" t="str">
        <v>EMP017</v>
      </c>
      <c r="B19" s="22" t="str">
        <v>Vignesh Kannan</v>
      </c>
      <c r="C19" s="22" t="str">
        <f>_xlfn.XLOOKUP('MONTHLY ATTENDANCE SUMMARY'!A19,'EMPLOYEE MASTER DATA'!A20:A319,'EMPLOYEE MASTER DATA'!D20:D319)</f>
        <v>Business Development</v>
      </c>
      <c r="D19" s="22">
        <v>20</v>
      </c>
      <c r="E19" s="22">
        <f t="shared" si="0"/>
        <v>2</v>
      </c>
      <c r="F19" s="22">
        <v>2</v>
      </c>
      <c r="G19" s="22">
        <v>4</v>
      </c>
      <c r="H19" s="23">
        <f t="shared" si="1"/>
        <v>7.0833333333333339</v>
      </c>
      <c r="I19" s="24">
        <f t="shared" si="2"/>
        <v>0.83333333333333337</v>
      </c>
    </row>
    <row r="20" spans="1:9" x14ac:dyDescent="0.3">
      <c r="A20" s="22" t="str">
        <v>EMP018</v>
      </c>
      <c r="B20" s="22" t="str">
        <v>Naveen Prasad</v>
      </c>
      <c r="C20" s="22" t="str">
        <f>_xlfn.XLOOKUP('MONTHLY ATTENDANCE SUMMARY'!A20,'EMPLOYEE MASTER DATA'!A21:A320,'EMPLOYEE MASTER DATA'!D21:D320)</f>
        <v>Admin</v>
      </c>
      <c r="D20" s="22">
        <v>19</v>
      </c>
      <c r="E20" s="22">
        <f t="shared" si="0"/>
        <v>4</v>
      </c>
      <c r="F20" s="22">
        <v>1</v>
      </c>
      <c r="G20" s="22">
        <v>4</v>
      </c>
      <c r="H20" s="23">
        <f t="shared" si="1"/>
        <v>6.729166666666667</v>
      </c>
      <c r="I20" s="24">
        <f t="shared" si="2"/>
        <v>0.79166666666666663</v>
      </c>
    </row>
    <row r="21" spans="1:9" x14ac:dyDescent="0.3">
      <c r="A21" s="22" t="str">
        <v>EMP019</v>
      </c>
      <c r="B21" s="22" t="str">
        <v>Arun N</v>
      </c>
      <c r="C21" s="22" t="str">
        <f>_xlfn.XLOOKUP('MONTHLY ATTENDANCE SUMMARY'!A21,'EMPLOYEE MASTER DATA'!A22:A321,'EMPLOYEE MASTER DATA'!D22:D321)</f>
        <v>Maintenance</v>
      </c>
      <c r="D21" s="22">
        <v>22</v>
      </c>
      <c r="E21" s="22">
        <f t="shared" si="0"/>
        <v>0</v>
      </c>
      <c r="F21" s="22">
        <v>2</v>
      </c>
      <c r="G21" s="22">
        <v>4</v>
      </c>
      <c r="H21" s="23">
        <f t="shared" si="1"/>
        <v>7.791666666666667</v>
      </c>
      <c r="I21" s="24">
        <f t="shared" si="2"/>
        <v>0.91666666666666663</v>
      </c>
    </row>
    <row r="22" spans="1:9" x14ac:dyDescent="0.3">
      <c r="A22" s="22" t="str">
        <v>EMP020</v>
      </c>
      <c r="B22" s="22" t="str">
        <v>Karthik Narayanan</v>
      </c>
      <c r="C22" s="22" t="str">
        <f>_xlfn.XLOOKUP('MONTHLY ATTENDANCE SUMMARY'!A22,'EMPLOYEE MASTER DATA'!A23:A322,'EMPLOYEE MASTER DATA'!D23:D322)</f>
        <v>HR</v>
      </c>
      <c r="D22" s="22">
        <v>19</v>
      </c>
      <c r="E22" s="22">
        <f t="shared" si="0"/>
        <v>4</v>
      </c>
      <c r="F22" s="22">
        <v>1</v>
      </c>
      <c r="G22" s="22">
        <v>4</v>
      </c>
      <c r="H22" s="23">
        <f t="shared" si="1"/>
        <v>6.729166666666667</v>
      </c>
      <c r="I22" s="24">
        <f t="shared" si="2"/>
        <v>0.79166666666666663</v>
      </c>
    </row>
    <row r="23" spans="1:9" x14ac:dyDescent="0.3">
      <c r="A23" s="22" t="str">
        <v>EMP021</v>
      </c>
      <c r="B23" s="22" t="str">
        <v>Arun Raj</v>
      </c>
      <c r="C23" s="22" t="str">
        <f>_xlfn.XLOOKUP('MONTHLY ATTENDANCE SUMMARY'!A23,'EMPLOYEE MASTER DATA'!A24:A323,'EMPLOYEE MASTER DATA'!D24:D323)</f>
        <v>Business Development</v>
      </c>
      <c r="D23" s="22">
        <v>21</v>
      </c>
      <c r="E23" s="22">
        <f t="shared" si="0"/>
        <v>1</v>
      </c>
      <c r="F23" s="22">
        <v>2</v>
      </c>
      <c r="G23" s="22">
        <v>4</v>
      </c>
      <c r="H23" s="23">
        <f t="shared" si="1"/>
        <v>7.4375</v>
      </c>
      <c r="I23" s="24">
        <f t="shared" si="2"/>
        <v>0.875</v>
      </c>
    </row>
    <row r="24" spans="1:9" x14ac:dyDescent="0.3">
      <c r="A24" s="22" t="str">
        <v>EMP022</v>
      </c>
      <c r="B24" s="22" t="str">
        <v>Madhan Raj</v>
      </c>
      <c r="C24" s="22" t="str">
        <f>_xlfn.XLOOKUP('MONTHLY ATTENDANCE SUMMARY'!A24,'EMPLOYEE MASTER DATA'!A25:A324,'EMPLOYEE MASTER DATA'!D25:D324)</f>
        <v>Business Development</v>
      </c>
      <c r="D24" s="22">
        <v>21</v>
      </c>
      <c r="E24" s="22">
        <f t="shared" si="0"/>
        <v>1</v>
      </c>
      <c r="F24" s="22">
        <v>2</v>
      </c>
      <c r="G24" s="22">
        <v>4</v>
      </c>
      <c r="H24" s="23">
        <f t="shared" si="1"/>
        <v>7.4375</v>
      </c>
      <c r="I24" s="24">
        <f t="shared" si="2"/>
        <v>0.875</v>
      </c>
    </row>
    <row r="25" spans="1:9" x14ac:dyDescent="0.3">
      <c r="A25" s="22" t="str">
        <v>EMP023</v>
      </c>
      <c r="B25" s="22" t="str">
        <v>Praveen Selvam</v>
      </c>
      <c r="C25" s="22" t="str">
        <f>_xlfn.XLOOKUP('MONTHLY ATTENDANCE SUMMARY'!A25,'EMPLOYEE MASTER DATA'!A26:A325,'EMPLOYEE MASTER DATA'!D26:D325)</f>
        <v>Front Office</v>
      </c>
      <c r="D25" s="22">
        <v>18</v>
      </c>
      <c r="E25" s="22">
        <f t="shared" si="0"/>
        <v>4</v>
      </c>
      <c r="F25" s="22">
        <v>2</v>
      </c>
      <c r="G25" s="22">
        <v>4</v>
      </c>
      <c r="H25" s="23">
        <f t="shared" si="1"/>
        <v>6.375</v>
      </c>
      <c r="I25" s="24">
        <f t="shared" si="2"/>
        <v>0.75</v>
      </c>
    </row>
    <row r="26" spans="1:9" x14ac:dyDescent="0.3">
      <c r="A26" s="22" t="str">
        <v>EMP024</v>
      </c>
      <c r="B26" s="22" t="str">
        <v>Harish Raja</v>
      </c>
      <c r="C26" s="22" t="str">
        <f>_xlfn.XLOOKUP('MONTHLY ATTENDANCE SUMMARY'!A26,'EMPLOYEE MASTER DATA'!A27:A326,'EMPLOYEE MASTER DATA'!D27:D326)</f>
        <v>Business Development</v>
      </c>
      <c r="D26" s="22">
        <v>21</v>
      </c>
      <c r="E26" s="22">
        <f t="shared" si="0"/>
        <v>2</v>
      </c>
      <c r="F26" s="22">
        <v>1</v>
      </c>
      <c r="G26" s="22">
        <v>4</v>
      </c>
      <c r="H26" s="23">
        <f t="shared" si="1"/>
        <v>7.4375</v>
      </c>
      <c r="I26" s="24">
        <f t="shared" si="2"/>
        <v>0.875</v>
      </c>
    </row>
    <row r="27" spans="1:9" x14ac:dyDescent="0.3">
      <c r="A27" s="22" t="str">
        <v>EMP025</v>
      </c>
      <c r="B27" s="22" t="str">
        <v>Harish V</v>
      </c>
      <c r="C27" s="22" t="str">
        <f>_xlfn.XLOOKUP('MONTHLY ATTENDANCE SUMMARY'!A27,'EMPLOYEE MASTER DATA'!A28:A327,'EMPLOYEE MASTER DATA'!D28:D327)</f>
        <v>Production</v>
      </c>
      <c r="D27" s="22">
        <v>18</v>
      </c>
      <c r="E27" s="22">
        <f t="shared" si="0"/>
        <v>4</v>
      </c>
      <c r="F27" s="22">
        <v>2</v>
      </c>
      <c r="G27" s="22">
        <v>4</v>
      </c>
      <c r="H27" s="23">
        <f t="shared" si="1"/>
        <v>6.375</v>
      </c>
      <c r="I27" s="24">
        <f t="shared" si="2"/>
        <v>0.75</v>
      </c>
    </row>
    <row r="28" spans="1:9" x14ac:dyDescent="0.3">
      <c r="A28" s="22" t="str">
        <v>EMP026</v>
      </c>
      <c r="B28" s="22" t="str">
        <v>Arun Murugan</v>
      </c>
      <c r="C28" s="22" t="str">
        <f>_xlfn.XLOOKUP('MONTHLY ATTENDANCE SUMMARY'!A28,'EMPLOYEE MASTER DATA'!A29:A328,'EMPLOYEE MASTER DATA'!D29:D328)</f>
        <v>Procurement</v>
      </c>
      <c r="D28" s="22">
        <v>19</v>
      </c>
      <c r="E28" s="22">
        <f t="shared" si="0"/>
        <v>4</v>
      </c>
      <c r="F28" s="22">
        <v>1</v>
      </c>
      <c r="G28" s="22">
        <v>4</v>
      </c>
      <c r="H28" s="23">
        <f t="shared" si="1"/>
        <v>6.729166666666667</v>
      </c>
      <c r="I28" s="24">
        <f t="shared" si="2"/>
        <v>0.79166666666666663</v>
      </c>
    </row>
    <row r="29" spans="1:9" x14ac:dyDescent="0.3">
      <c r="A29" s="22" t="str">
        <v>EMP027</v>
      </c>
      <c r="B29" s="22" t="str">
        <v>Prakash N</v>
      </c>
      <c r="C29" s="22" t="str">
        <f>_xlfn.XLOOKUP('MONTHLY ATTENDANCE SUMMARY'!A29,'EMPLOYEE MASTER DATA'!A30:A329,'EMPLOYEE MASTER DATA'!D30:D329)</f>
        <v>Maintenance</v>
      </c>
      <c r="D29" s="22">
        <v>21</v>
      </c>
      <c r="E29" s="22">
        <f t="shared" si="0"/>
        <v>1</v>
      </c>
      <c r="F29" s="22">
        <v>2</v>
      </c>
      <c r="G29" s="22">
        <v>4</v>
      </c>
      <c r="H29" s="23">
        <f t="shared" si="1"/>
        <v>7.4375</v>
      </c>
      <c r="I29" s="24">
        <f t="shared" si="2"/>
        <v>0.875</v>
      </c>
    </row>
    <row r="30" spans="1:9" x14ac:dyDescent="0.3">
      <c r="A30" s="22" t="str">
        <v>EMP028</v>
      </c>
      <c r="B30" s="22" t="str">
        <v>Vinoth V</v>
      </c>
      <c r="C30" s="22" t="str">
        <f>_xlfn.XLOOKUP('MONTHLY ATTENDANCE SUMMARY'!A30,'EMPLOYEE MASTER DATA'!A31:A330,'EMPLOYEE MASTER DATA'!D31:D330)</f>
        <v>Sales</v>
      </c>
      <c r="D30" s="22">
        <v>20</v>
      </c>
      <c r="E30" s="22">
        <f t="shared" si="0"/>
        <v>3</v>
      </c>
      <c r="F30" s="22">
        <v>1</v>
      </c>
      <c r="G30" s="22">
        <v>4</v>
      </c>
      <c r="H30" s="23">
        <f t="shared" si="1"/>
        <v>7.0833333333333339</v>
      </c>
      <c r="I30" s="24">
        <f t="shared" si="2"/>
        <v>0.83333333333333337</v>
      </c>
    </row>
    <row r="31" spans="1:9" x14ac:dyDescent="0.3">
      <c r="A31" s="22" t="str">
        <v>EMP029</v>
      </c>
      <c r="B31" s="22" t="str">
        <v>Harish N</v>
      </c>
      <c r="C31" s="22" t="str">
        <f>_xlfn.XLOOKUP('MONTHLY ATTENDANCE SUMMARY'!A31,'EMPLOYEE MASTER DATA'!A32:A331,'EMPLOYEE MASTER DATA'!D32:D331)</f>
        <v>Accounts</v>
      </c>
      <c r="D31" s="22">
        <v>22</v>
      </c>
      <c r="E31" s="22">
        <f t="shared" si="0"/>
        <v>1</v>
      </c>
      <c r="F31" s="22">
        <v>1</v>
      </c>
      <c r="G31" s="22">
        <v>4</v>
      </c>
      <c r="H31" s="23">
        <f t="shared" si="1"/>
        <v>7.791666666666667</v>
      </c>
      <c r="I31" s="24">
        <f t="shared" si="2"/>
        <v>0.91666666666666663</v>
      </c>
    </row>
    <row r="32" spans="1:9" x14ac:dyDescent="0.3">
      <c r="A32" s="22" t="str">
        <v>EMP030</v>
      </c>
      <c r="B32" s="22" t="str">
        <v>Yuvaraj Murugan</v>
      </c>
      <c r="C32" s="22" t="str">
        <f>_xlfn.XLOOKUP('MONTHLY ATTENDANCE SUMMARY'!A32,'EMPLOYEE MASTER DATA'!A33:A332,'EMPLOYEE MASTER DATA'!D33:D332)</f>
        <v>Sales</v>
      </c>
      <c r="D32" s="22">
        <v>22</v>
      </c>
      <c r="E32" s="22">
        <f t="shared" si="0"/>
        <v>1</v>
      </c>
      <c r="F32" s="22">
        <v>1</v>
      </c>
      <c r="G32" s="22">
        <v>4</v>
      </c>
      <c r="H32" s="23">
        <f t="shared" si="1"/>
        <v>7.791666666666667</v>
      </c>
      <c r="I32" s="24">
        <f t="shared" si="2"/>
        <v>0.91666666666666663</v>
      </c>
    </row>
    <row r="33" spans="1:9" x14ac:dyDescent="0.3">
      <c r="A33" s="22" t="str">
        <v>EMP031</v>
      </c>
      <c r="B33" s="22" t="str">
        <v>Aravind M</v>
      </c>
      <c r="C33" s="22" t="str">
        <f>_xlfn.XLOOKUP('MONTHLY ATTENDANCE SUMMARY'!A33,'EMPLOYEE MASTER DATA'!A34:A333,'EMPLOYEE MASTER DATA'!D34:D333)</f>
        <v>Customer Relationship</v>
      </c>
      <c r="D33" s="22">
        <v>22</v>
      </c>
      <c r="E33" s="22">
        <f t="shared" si="0"/>
        <v>0</v>
      </c>
      <c r="F33" s="22">
        <v>2</v>
      </c>
      <c r="G33" s="22">
        <v>4</v>
      </c>
      <c r="H33" s="23">
        <f t="shared" si="1"/>
        <v>7.791666666666667</v>
      </c>
      <c r="I33" s="24">
        <f t="shared" si="2"/>
        <v>0.91666666666666663</v>
      </c>
    </row>
    <row r="34" spans="1:9" x14ac:dyDescent="0.3">
      <c r="A34" s="22" t="str">
        <v>EMP032</v>
      </c>
      <c r="B34" s="22" t="str">
        <v>Nithin S</v>
      </c>
      <c r="C34" s="22" t="str">
        <f>_xlfn.XLOOKUP('MONTHLY ATTENDANCE SUMMARY'!A34,'EMPLOYEE MASTER DATA'!A35:A334,'EMPLOYEE MASTER DATA'!D35:D334)</f>
        <v>Admin</v>
      </c>
      <c r="D34" s="22">
        <v>19</v>
      </c>
      <c r="E34" s="22">
        <f t="shared" si="0"/>
        <v>3</v>
      </c>
      <c r="F34" s="22">
        <v>2</v>
      </c>
      <c r="G34" s="22">
        <v>4</v>
      </c>
      <c r="H34" s="23">
        <f t="shared" si="1"/>
        <v>6.729166666666667</v>
      </c>
      <c r="I34" s="24">
        <f t="shared" si="2"/>
        <v>0.79166666666666663</v>
      </c>
    </row>
    <row r="35" spans="1:9" x14ac:dyDescent="0.3">
      <c r="A35" s="22" t="str">
        <v>EMP033</v>
      </c>
      <c r="B35" s="22" t="str">
        <v>Karthik R</v>
      </c>
      <c r="C35" s="22" t="str">
        <f>_xlfn.XLOOKUP('MONTHLY ATTENDANCE SUMMARY'!A35,'EMPLOYEE MASTER DATA'!A36:A335,'EMPLOYEE MASTER DATA'!D36:D335)</f>
        <v>Back End</v>
      </c>
      <c r="D35" s="22">
        <v>22</v>
      </c>
      <c r="E35" s="22">
        <f t="shared" si="0"/>
        <v>1</v>
      </c>
      <c r="F35" s="22">
        <v>1</v>
      </c>
      <c r="G35" s="22">
        <v>4</v>
      </c>
      <c r="H35" s="23">
        <f t="shared" si="1"/>
        <v>7.791666666666667</v>
      </c>
      <c r="I35" s="24">
        <f t="shared" si="2"/>
        <v>0.91666666666666663</v>
      </c>
    </row>
    <row r="36" spans="1:9" x14ac:dyDescent="0.3">
      <c r="A36" s="22" t="str">
        <v>EMP034</v>
      </c>
      <c r="B36" s="22" t="str">
        <v>Praveen S</v>
      </c>
      <c r="C36" s="22" t="str">
        <f>_xlfn.XLOOKUP('MONTHLY ATTENDANCE SUMMARY'!A36,'EMPLOYEE MASTER DATA'!A37:A336,'EMPLOYEE MASTER DATA'!D37:D336)</f>
        <v>IT</v>
      </c>
      <c r="D36" s="22">
        <v>19</v>
      </c>
      <c r="E36" s="22">
        <f t="shared" si="0"/>
        <v>4</v>
      </c>
      <c r="F36" s="22">
        <v>1</v>
      </c>
      <c r="G36" s="22">
        <v>4</v>
      </c>
      <c r="H36" s="23">
        <f t="shared" si="1"/>
        <v>6.729166666666667</v>
      </c>
      <c r="I36" s="24">
        <f t="shared" si="2"/>
        <v>0.79166666666666663</v>
      </c>
    </row>
    <row r="37" spans="1:9" x14ac:dyDescent="0.3">
      <c r="A37" s="22" t="str">
        <v>EMP035</v>
      </c>
      <c r="B37" s="22" t="str">
        <v>Manoj Kumar</v>
      </c>
      <c r="C37" s="22" t="str">
        <f>_xlfn.XLOOKUP('MONTHLY ATTENDANCE SUMMARY'!A37,'EMPLOYEE MASTER DATA'!A38:A337,'EMPLOYEE MASTER DATA'!D38:D337)</f>
        <v>Admin</v>
      </c>
      <c r="D37" s="22">
        <v>21</v>
      </c>
      <c r="E37" s="22">
        <f t="shared" si="0"/>
        <v>2</v>
      </c>
      <c r="F37" s="22">
        <v>1</v>
      </c>
      <c r="G37" s="22">
        <v>4</v>
      </c>
      <c r="H37" s="23">
        <f t="shared" si="1"/>
        <v>7.4375</v>
      </c>
      <c r="I37" s="24">
        <f t="shared" si="2"/>
        <v>0.875</v>
      </c>
    </row>
    <row r="38" spans="1:9" x14ac:dyDescent="0.3">
      <c r="A38" s="22" t="str">
        <v>EMP036</v>
      </c>
      <c r="B38" s="22" t="str">
        <v>Madhan Narayanan</v>
      </c>
      <c r="C38" s="22" t="str">
        <f>_xlfn.XLOOKUP('MONTHLY ATTENDANCE SUMMARY'!A38,'EMPLOYEE MASTER DATA'!A39:A338,'EMPLOYEE MASTER DATA'!D39:D338)</f>
        <v>Business Development</v>
      </c>
      <c r="D38" s="22">
        <v>20</v>
      </c>
      <c r="E38" s="22">
        <f t="shared" si="0"/>
        <v>3</v>
      </c>
      <c r="F38" s="22">
        <v>1</v>
      </c>
      <c r="G38" s="22">
        <v>4</v>
      </c>
      <c r="H38" s="23">
        <f t="shared" si="1"/>
        <v>7.0833333333333339</v>
      </c>
      <c r="I38" s="24">
        <f t="shared" si="2"/>
        <v>0.83333333333333337</v>
      </c>
    </row>
    <row r="39" spans="1:9" x14ac:dyDescent="0.3">
      <c r="A39" s="22" t="str">
        <v>EMP037</v>
      </c>
      <c r="B39" s="22" t="str">
        <v>Kishore Murugan</v>
      </c>
      <c r="C39" s="22" t="str">
        <f>_xlfn.XLOOKUP('MONTHLY ATTENDANCE SUMMARY'!A39,'EMPLOYEE MASTER DATA'!A40:A339,'EMPLOYEE MASTER DATA'!D40:D339)</f>
        <v>Procurement</v>
      </c>
      <c r="D39" s="22">
        <v>18</v>
      </c>
      <c r="E39" s="22">
        <f t="shared" si="0"/>
        <v>5</v>
      </c>
      <c r="F39" s="22">
        <v>1</v>
      </c>
      <c r="G39" s="22">
        <v>4</v>
      </c>
      <c r="H39" s="23">
        <f t="shared" si="1"/>
        <v>6.375</v>
      </c>
      <c r="I39" s="24">
        <f t="shared" si="2"/>
        <v>0.75</v>
      </c>
    </row>
    <row r="40" spans="1:9" x14ac:dyDescent="0.3">
      <c r="A40" s="22" t="str">
        <v>EMP038</v>
      </c>
      <c r="B40" s="22" t="str">
        <v>Kishore M</v>
      </c>
      <c r="C40" s="22" t="str">
        <f>_xlfn.XLOOKUP('MONTHLY ATTENDANCE SUMMARY'!A40,'EMPLOYEE MASTER DATA'!A41:A340,'EMPLOYEE MASTER DATA'!D41:D340)</f>
        <v>Sales</v>
      </c>
      <c r="D40" s="22">
        <v>22</v>
      </c>
      <c r="E40" s="22">
        <f t="shared" si="0"/>
        <v>0</v>
      </c>
      <c r="F40" s="22">
        <v>2</v>
      </c>
      <c r="G40" s="22">
        <v>4</v>
      </c>
      <c r="H40" s="23">
        <f t="shared" si="1"/>
        <v>7.791666666666667</v>
      </c>
      <c r="I40" s="24">
        <f t="shared" si="2"/>
        <v>0.91666666666666663</v>
      </c>
    </row>
    <row r="41" spans="1:9" x14ac:dyDescent="0.3">
      <c r="A41" s="22" t="str">
        <v>EMP039</v>
      </c>
      <c r="B41" s="22" t="str">
        <v>Bharath S</v>
      </c>
      <c r="C41" s="22" t="str">
        <f>_xlfn.XLOOKUP('MONTHLY ATTENDANCE SUMMARY'!A41,'EMPLOYEE MASTER DATA'!A42:A341,'EMPLOYEE MASTER DATA'!D42:D341)</f>
        <v>Customer Relationship</v>
      </c>
      <c r="D41" s="22">
        <v>21</v>
      </c>
      <c r="E41" s="22">
        <f t="shared" si="0"/>
        <v>1</v>
      </c>
      <c r="F41" s="22">
        <v>2</v>
      </c>
      <c r="G41" s="22">
        <v>4</v>
      </c>
      <c r="H41" s="23">
        <f t="shared" si="1"/>
        <v>7.4375</v>
      </c>
      <c r="I41" s="24">
        <f t="shared" si="2"/>
        <v>0.875</v>
      </c>
    </row>
    <row r="42" spans="1:9" x14ac:dyDescent="0.3">
      <c r="A42" s="22" t="str">
        <v>EMP040</v>
      </c>
      <c r="B42" s="22" t="str">
        <v>Ashwin G</v>
      </c>
      <c r="C42" s="22" t="str">
        <f>_xlfn.XLOOKUP('MONTHLY ATTENDANCE SUMMARY'!A42,'EMPLOYEE MASTER DATA'!A43:A342,'EMPLOYEE MASTER DATA'!D43:D342)</f>
        <v>Sales</v>
      </c>
      <c r="D42" s="22">
        <v>14</v>
      </c>
      <c r="E42" s="22">
        <f t="shared" si="0"/>
        <v>8</v>
      </c>
      <c r="F42" s="22">
        <v>2</v>
      </c>
      <c r="G42" s="22">
        <v>4</v>
      </c>
      <c r="H42" s="23">
        <f t="shared" si="1"/>
        <v>4.9583333333333339</v>
      </c>
      <c r="I42" s="24">
        <f t="shared" si="2"/>
        <v>0.58333333333333337</v>
      </c>
    </row>
    <row r="43" spans="1:9" x14ac:dyDescent="0.3">
      <c r="A43" s="22" t="str">
        <v>EMP041</v>
      </c>
      <c r="B43" s="22" t="str">
        <v>Ajay Raj</v>
      </c>
      <c r="C43" s="22" t="str">
        <f>_xlfn.XLOOKUP('MONTHLY ATTENDANCE SUMMARY'!A43,'EMPLOYEE MASTER DATA'!A44:A343,'EMPLOYEE MASTER DATA'!D44:D343)</f>
        <v>Front Office</v>
      </c>
      <c r="D43" s="22">
        <v>21</v>
      </c>
      <c r="E43" s="22">
        <f t="shared" si="0"/>
        <v>1</v>
      </c>
      <c r="F43" s="22">
        <v>2</v>
      </c>
      <c r="G43" s="22">
        <v>4</v>
      </c>
      <c r="H43" s="23">
        <f t="shared" si="1"/>
        <v>7.4375</v>
      </c>
      <c r="I43" s="24">
        <f t="shared" si="2"/>
        <v>0.875</v>
      </c>
    </row>
    <row r="44" spans="1:9" x14ac:dyDescent="0.3">
      <c r="A44" s="22" t="str">
        <v>EMP042</v>
      </c>
      <c r="B44" s="22" t="str">
        <v>Prakash S</v>
      </c>
      <c r="C44" s="22" t="str">
        <f>_xlfn.XLOOKUP('MONTHLY ATTENDANCE SUMMARY'!A44,'EMPLOYEE MASTER DATA'!A45:A344,'EMPLOYEE MASTER DATA'!D45:D344)</f>
        <v>Accounts</v>
      </c>
      <c r="D44" s="22">
        <v>22</v>
      </c>
      <c r="E44" s="22">
        <f t="shared" si="0"/>
        <v>0</v>
      </c>
      <c r="F44" s="22">
        <v>2</v>
      </c>
      <c r="G44" s="22">
        <v>4</v>
      </c>
      <c r="H44" s="23">
        <f t="shared" si="1"/>
        <v>7.791666666666667</v>
      </c>
      <c r="I44" s="24">
        <f t="shared" si="2"/>
        <v>0.91666666666666663</v>
      </c>
    </row>
    <row r="45" spans="1:9" x14ac:dyDescent="0.3">
      <c r="A45" s="22" t="str">
        <v>EMP043</v>
      </c>
      <c r="B45" s="22" t="str">
        <v>Deepak Selvam</v>
      </c>
      <c r="C45" s="22" t="str">
        <f>_xlfn.XLOOKUP('MONTHLY ATTENDANCE SUMMARY'!A45,'EMPLOYEE MASTER DATA'!A46:A345,'EMPLOYEE MASTER DATA'!D46:D345)</f>
        <v>Production</v>
      </c>
      <c r="D45" s="22">
        <v>21</v>
      </c>
      <c r="E45" s="22">
        <f t="shared" si="0"/>
        <v>2</v>
      </c>
      <c r="F45" s="22">
        <v>1</v>
      </c>
      <c r="G45" s="22">
        <v>4</v>
      </c>
      <c r="H45" s="23">
        <f t="shared" si="1"/>
        <v>7.4375</v>
      </c>
      <c r="I45" s="24">
        <f t="shared" si="2"/>
        <v>0.875</v>
      </c>
    </row>
    <row r="46" spans="1:9" x14ac:dyDescent="0.3">
      <c r="A46" s="22" t="str">
        <v>EMP044</v>
      </c>
      <c r="B46" s="22" t="str">
        <v>Karthik Krishnan</v>
      </c>
      <c r="C46" s="22" t="str">
        <f>_xlfn.XLOOKUP('MONTHLY ATTENDANCE SUMMARY'!A46,'EMPLOYEE MASTER DATA'!A47:A346,'EMPLOYEE MASTER DATA'!D47:D346)</f>
        <v>IT</v>
      </c>
      <c r="D46" s="22">
        <v>21</v>
      </c>
      <c r="E46" s="22">
        <f t="shared" si="0"/>
        <v>2</v>
      </c>
      <c r="F46" s="22">
        <v>1</v>
      </c>
      <c r="G46" s="22">
        <v>4</v>
      </c>
      <c r="H46" s="23">
        <f t="shared" si="1"/>
        <v>7.4375</v>
      </c>
      <c r="I46" s="24">
        <f t="shared" si="2"/>
        <v>0.875</v>
      </c>
    </row>
    <row r="47" spans="1:9" x14ac:dyDescent="0.3">
      <c r="A47" s="22" t="str">
        <v>EMP045</v>
      </c>
      <c r="B47" s="22" t="str">
        <v>Ajay Raja</v>
      </c>
      <c r="C47" s="22" t="str">
        <f>_xlfn.XLOOKUP('MONTHLY ATTENDANCE SUMMARY'!A47,'EMPLOYEE MASTER DATA'!A48:A347,'EMPLOYEE MASTER DATA'!D48:D347)</f>
        <v>HR</v>
      </c>
      <c r="D47" s="22">
        <v>18</v>
      </c>
      <c r="E47" s="22">
        <f t="shared" si="0"/>
        <v>4</v>
      </c>
      <c r="F47" s="22">
        <v>2</v>
      </c>
      <c r="G47" s="22">
        <v>4</v>
      </c>
      <c r="H47" s="23">
        <f t="shared" si="1"/>
        <v>6.375</v>
      </c>
      <c r="I47" s="24">
        <f t="shared" si="2"/>
        <v>0.75</v>
      </c>
    </row>
    <row r="48" spans="1:9" x14ac:dyDescent="0.3">
      <c r="A48" s="22" t="str">
        <v>EMP046</v>
      </c>
      <c r="B48" s="22" t="str">
        <v>Aravind Selvam</v>
      </c>
      <c r="C48" s="22" t="str">
        <f>_xlfn.XLOOKUP('MONTHLY ATTENDANCE SUMMARY'!A48,'EMPLOYEE MASTER DATA'!A49:A348,'EMPLOYEE MASTER DATA'!D49:D348)</f>
        <v>Production</v>
      </c>
      <c r="D48" s="22">
        <v>22</v>
      </c>
      <c r="E48" s="22">
        <f t="shared" si="0"/>
        <v>1</v>
      </c>
      <c r="F48" s="22">
        <v>1</v>
      </c>
      <c r="G48" s="22">
        <v>4</v>
      </c>
      <c r="H48" s="23">
        <f t="shared" si="1"/>
        <v>7.791666666666667</v>
      </c>
      <c r="I48" s="24">
        <f t="shared" si="2"/>
        <v>0.91666666666666663</v>
      </c>
    </row>
    <row r="49" spans="1:9" x14ac:dyDescent="0.3">
      <c r="A49" s="22" t="str">
        <v>EMP047</v>
      </c>
      <c r="B49" s="22" t="str">
        <v>Yuvaraj Raja</v>
      </c>
      <c r="C49" s="22" t="str">
        <f>_xlfn.XLOOKUP('MONTHLY ATTENDANCE SUMMARY'!A49,'EMPLOYEE MASTER DATA'!A50:A349,'EMPLOYEE MASTER DATA'!D50:D349)</f>
        <v>Procurement</v>
      </c>
      <c r="D49" s="22">
        <v>20</v>
      </c>
      <c r="E49" s="22">
        <f t="shared" si="0"/>
        <v>2</v>
      </c>
      <c r="F49" s="22">
        <v>2</v>
      </c>
      <c r="G49" s="22">
        <v>4</v>
      </c>
      <c r="H49" s="23">
        <f t="shared" si="1"/>
        <v>7.0833333333333339</v>
      </c>
      <c r="I49" s="24">
        <f t="shared" si="2"/>
        <v>0.83333333333333337</v>
      </c>
    </row>
    <row r="50" spans="1:9" x14ac:dyDescent="0.3">
      <c r="A50" s="22" t="str">
        <v>EMP048</v>
      </c>
      <c r="B50" s="22" t="str">
        <v>Aravind Krishnan</v>
      </c>
      <c r="C50" s="22" t="str">
        <f>_xlfn.XLOOKUP('MONTHLY ATTENDANCE SUMMARY'!A50,'EMPLOYEE MASTER DATA'!A51:A350,'EMPLOYEE MASTER DATA'!D51:D350)</f>
        <v>Customer Relationship</v>
      </c>
      <c r="D50" s="22">
        <v>18</v>
      </c>
      <c r="E50" s="22">
        <f t="shared" si="0"/>
        <v>4</v>
      </c>
      <c r="F50" s="22">
        <v>2</v>
      </c>
      <c r="G50" s="22">
        <v>4</v>
      </c>
      <c r="H50" s="23">
        <f t="shared" si="1"/>
        <v>6.375</v>
      </c>
      <c r="I50" s="24">
        <f t="shared" si="2"/>
        <v>0.75</v>
      </c>
    </row>
    <row r="51" spans="1:9" x14ac:dyDescent="0.3">
      <c r="A51" s="22" t="str">
        <v>EMP049</v>
      </c>
      <c r="B51" s="22" t="str">
        <v>Vijay Murugan</v>
      </c>
      <c r="C51" s="22" t="str">
        <f>_xlfn.XLOOKUP('MONTHLY ATTENDANCE SUMMARY'!A51,'EMPLOYEE MASTER DATA'!A52:A351,'EMPLOYEE MASTER DATA'!D52:D351)</f>
        <v>Front Office</v>
      </c>
      <c r="D51" s="22">
        <v>19</v>
      </c>
      <c r="E51" s="22">
        <f t="shared" si="0"/>
        <v>4</v>
      </c>
      <c r="F51" s="22">
        <v>1</v>
      </c>
      <c r="G51" s="22">
        <v>4</v>
      </c>
      <c r="H51" s="23">
        <f t="shared" si="1"/>
        <v>6.729166666666667</v>
      </c>
      <c r="I51" s="24">
        <f t="shared" si="2"/>
        <v>0.79166666666666663</v>
      </c>
    </row>
    <row r="52" spans="1:9" x14ac:dyDescent="0.3">
      <c r="A52" s="22" t="str">
        <v>EMP050</v>
      </c>
      <c r="B52" s="22" t="str">
        <v>Manoj P</v>
      </c>
      <c r="C52" s="22" t="str">
        <f>_xlfn.XLOOKUP('MONTHLY ATTENDANCE SUMMARY'!A52,'EMPLOYEE MASTER DATA'!A53:A352,'EMPLOYEE MASTER DATA'!D53:D352)</f>
        <v>Accounts</v>
      </c>
      <c r="D52" s="22">
        <v>21</v>
      </c>
      <c r="E52" s="22">
        <f t="shared" si="0"/>
        <v>2</v>
      </c>
      <c r="F52" s="22">
        <v>1</v>
      </c>
      <c r="G52" s="22">
        <v>4</v>
      </c>
      <c r="H52" s="23">
        <f t="shared" si="1"/>
        <v>7.4375</v>
      </c>
      <c r="I52" s="24">
        <f t="shared" si="2"/>
        <v>0.875</v>
      </c>
    </row>
    <row r="53" spans="1:9" x14ac:dyDescent="0.3">
      <c r="A53" s="22" t="str">
        <v>EMP051</v>
      </c>
      <c r="B53" s="22" t="str">
        <v>Vijay Babu</v>
      </c>
      <c r="C53" s="22" t="str">
        <f>_xlfn.XLOOKUP('MONTHLY ATTENDANCE SUMMARY'!A53,'EMPLOYEE MASTER DATA'!A54:A353,'EMPLOYEE MASTER DATA'!D54:D353)</f>
        <v>Maintenance</v>
      </c>
      <c r="D53" s="22">
        <v>21</v>
      </c>
      <c r="E53" s="22">
        <f t="shared" si="0"/>
        <v>1</v>
      </c>
      <c r="F53" s="22">
        <v>2</v>
      </c>
      <c r="G53" s="22">
        <v>4</v>
      </c>
      <c r="H53" s="23">
        <f t="shared" si="1"/>
        <v>7.4375</v>
      </c>
      <c r="I53" s="24">
        <f t="shared" si="2"/>
        <v>0.875</v>
      </c>
    </row>
    <row r="54" spans="1:9" x14ac:dyDescent="0.3">
      <c r="A54" s="22" t="str">
        <v>EMP052</v>
      </c>
      <c r="B54" s="22" t="str">
        <v>Karthik Raja</v>
      </c>
      <c r="C54" s="22" t="str">
        <f>_xlfn.XLOOKUP('MONTHLY ATTENDANCE SUMMARY'!A54,'EMPLOYEE MASTER DATA'!A55:A354,'EMPLOYEE MASTER DATA'!D55:D354)</f>
        <v>HR</v>
      </c>
      <c r="D54" s="22">
        <v>20</v>
      </c>
      <c r="E54" s="22">
        <f t="shared" si="0"/>
        <v>3</v>
      </c>
      <c r="F54" s="22">
        <v>1</v>
      </c>
      <c r="G54" s="22">
        <v>4</v>
      </c>
      <c r="H54" s="23">
        <f t="shared" si="1"/>
        <v>7.0833333333333339</v>
      </c>
      <c r="I54" s="24">
        <f t="shared" si="2"/>
        <v>0.83333333333333337</v>
      </c>
    </row>
    <row r="55" spans="1:9" x14ac:dyDescent="0.3">
      <c r="A55" s="22" t="str">
        <v>EMP053</v>
      </c>
      <c r="B55" s="22" t="str">
        <v>Naveen G</v>
      </c>
      <c r="C55" s="22" t="str">
        <f>_xlfn.XLOOKUP('MONTHLY ATTENDANCE SUMMARY'!A55,'EMPLOYEE MASTER DATA'!A56:A355,'EMPLOYEE MASTER DATA'!D56:D355)</f>
        <v>Maintenance</v>
      </c>
      <c r="D55" s="22">
        <v>18</v>
      </c>
      <c r="E55" s="22">
        <f t="shared" si="0"/>
        <v>4</v>
      </c>
      <c r="F55" s="22">
        <v>2</v>
      </c>
      <c r="G55" s="22">
        <v>4</v>
      </c>
      <c r="H55" s="23">
        <f t="shared" si="1"/>
        <v>6.375</v>
      </c>
      <c r="I55" s="24">
        <f t="shared" si="2"/>
        <v>0.75</v>
      </c>
    </row>
    <row r="56" spans="1:9" x14ac:dyDescent="0.3">
      <c r="A56" s="22" t="str">
        <v>EMP054</v>
      </c>
      <c r="B56" s="22" t="str">
        <v>Yuvaraj Krishnan</v>
      </c>
      <c r="C56" s="22" t="str">
        <f>_xlfn.XLOOKUP('MONTHLY ATTENDANCE SUMMARY'!A56,'EMPLOYEE MASTER DATA'!A57:A356,'EMPLOYEE MASTER DATA'!D57:D356)</f>
        <v>IT</v>
      </c>
      <c r="D56" s="22">
        <v>21</v>
      </c>
      <c r="E56" s="22">
        <f t="shared" si="0"/>
        <v>1</v>
      </c>
      <c r="F56" s="22">
        <v>2</v>
      </c>
      <c r="G56" s="22">
        <v>4</v>
      </c>
      <c r="H56" s="23">
        <f t="shared" si="1"/>
        <v>7.4375</v>
      </c>
      <c r="I56" s="24">
        <f t="shared" si="2"/>
        <v>0.875</v>
      </c>
    </row>
    <row r="57" spans="1:9" x14ac:dyDescent="0.3">
      <c r="A57" s="22" t="str">
        <v>EMP055</v>
      </c>
      <c r="B57" s="22" t="str">
        <v>Lokesh V</v>
      </c>
      <c r="C57" s="22" t="str">
        <f>_xlfn.XLOOKUP('MONTHLY ATTENDANCE SUMMARY'!A57,'EMPLOYEE MASTER DATA'!A58:A357,'EMPLOYEE MASTER DATA'!D58:D357)</f>
        <v>IT</v>
      </c>
      <c r="D57" s="22">
        <v>19</v>
      </c>
      <c r="E57" s="22">
        <f t="shared" si="0"/>
        <v>3</v>
      </c>
      <c r="F57" s="22">
        <v>2</v>
      </c>
      <c r="G57" s="22">
        <v>4</v>
      </c>
      <c r="H57" s="23">
        <f t="shared" si="1"/>
        <v>6.729166666666667</v>
      </c>
      <c r="I57" s="24">
        <f t="shared" si="2"/>
        <v>0.79166666666666663</v>
      </c>
    </row>
    <row r="58" spans="1:9" x14ac:dyDescent="0.3">
      <c r="A58" s="22" t="str">
        <v>EMP056</v>
      </c>
      <c r="B58" s="22" t="str">
        <v>Yuvaraj P</v>
      </c>
      <c r="C58" s="22" t="str">
        <f>_xlfn.XLOOKUP('MONTHLY ATTENDANCE SUMMARY'!A58,'EMPLOYEE MASTER DATA'!A59:A358,'EMPLOYEE MASTER DATA'!D59:D358)</f>
        <v>Back End</v>
      </c>
      <c r="D58" s="22">
        <v>22</v>
      </c>
      <c r="E58" s="22">
        <f t="shared" si="0"/>
        <v>1</v>
      </c>
      <c r="F58" s="22">
        <v>1</v>
      </c>
      <c r="G58" s="22">
        <v>4</v>
      </c>
      <c r="H58" s="23">
        <f t="shared" si="1"/>
        <v>7.791666666666667</v>
      </c>
      <c r="I58" s="24">
        <f t="shared" si="2"/>
        <v>0.91666666666666663</v>
      </c>
    </row>
    <row r="59" spans="1:9" x14ac:dyDescent="0.3">
      <c r="A59" s="22" t="str">
        <v>EMP057</v>
      </c>
      <c r="B59" s="22" t="str">
        <v>Ramesh B</v>
      </c>
      <c r="C59" s="22" t="str">
        <f>_xlfn.XLOOKUP('MONTHLY ATTENDANCE SUMMARY'!A59,'EMPLOYEE MASTER DATA'!A60:A359,'EMPLOYEE MASTER DATA'!D60:D359)</f>
        <v>Production</v>
      </c>
      <c r="D59" s="22">
        <v>19</v>
      </c>
      <c r="E59" s="22">
        <f t="shared" si="0"/>
        <v>4</v>
      </c>
      <c r="F59" s="22">
        <v>1</v>
      </c>
      <c r="G59" s="22">
        <v>4</v>
      </c>
      <c r="H59" s="23">
        <f t="shared" si="1"/>
        <v>6.729166666666667</v>
      </c>
      <c r="I59" s="24">
        <f t="shared" si="2"/>
        <v>0.79166666666666663</v>
      </c>
    </row>
    <row r="60" spans="1:9" x14ac:dyDescent="0.3">
      <c r="A60" s="22" t="str">
        <v>EMP058</v>
      </c>
      <c r="B60" s="22" t="str">
        <v>Arun T</v>
      </c>
      <c r="C60" s="22" t="str">
        <f>_xlfn.XLOOKUP('MONTHLY ATTENDANCE SUMMARY'!A60,'EMPLOYEE MASTER DATA'!A61:A360,'EMPLOYEE MASTER DATA'!D61:D360)</f>
        <v>Maintenance</v>
      </c>
      <c r="D60" s="22">
        <v>22</v>
      </c>
      <c r="E60" s="22">
        <f t="shared" si="0"/>
        <v>0</v>
      </c>
      <c r="F60" s="22">
        <v>2</v>
      </c>
      <c r="G60" s="22">
        <v>4</v>
      </c>
      <c r="H60" s="23">
        <f t="shared" si="1"/>
        <v>7.791666666666667</v>
      </c>
      <c r="I60" s="24">
        <f t="shared" si="2"/>
        <v>0.91666666666666663</v>
      </c>
    </row>
    <row r="61" spans="1:9" x14ac:dyDescent="0.3">
      <c r="A61" s="22" t="str">
        <v>EMP059</v>
      </c>
      <c r="B61" s="22" t="str">
        <v>Ashwin Selvam</v>
      </c>
      <c r="C61" s="22" t="str">
        <f>_xlfn.XLOOKUP('MONTHLY ATTENDANCE SUMMARY'!A61,'EMPLOYEE MASTER DATA'!A62:A361,'EMPLOYEE MASTER DATA'!D62:D361)</f>
        <v>Procurement</v>
      </c>
      <c r="D61" s="22">
        <v>18</v>
      </c>
      <c r="E61" s="22">
        <f t="shared" si="0"/>
        <v>4</v>
      </c>
      <c r="F61" s="22">
        <v>2</v>
      </c>
      <c r="G61" s="22">
        <v>4</v>
      </c>
      <c r="H61" s="23">
        <f t="shared" si="1"/>
        <v>6.375</v>
      </c>
      <c r="I61" s="24">
        <f t="shared" si="2"/>
        <v>0.75</v>
      </c>
    </row>
    <row r="62" spans="1:9" x14ac:dyDescent="0.3">
      <c r="A62" s="22" t="str">
        <v>EMP060</v>
      </c>
      <c r="B62" s="22" t="str">
        <v>Yogesh R</v>
      </c>
      <c r="C62" s="22" t="str">
        <f>_xlfn.XLOOKUP('MONTHLY ATTENDANCE SUMMARY'!A62,'EMPLOYEE MASTER DATA'!A63:A362,'EMPLOYEE MASTER DATA'!D63:D362)</f>
        <v>Sales</v>
      </c>
      <c r="D62" s="22">
        <v>21</v>
      </c>
      <c r="E62" s="22">
        <f t="shared" si="0"/>
        <v>1</v>
      </c>
      <c r="F62" s="22">
        <v>2</v>
      </c>
      <c r="G62" s="22">
        <v>4</v>
      </c>
      <c r="H62" s="23">
        <f t="shared" si="1"/>
        <v>7.4375</v>
      </c>
      <c r="I62" s="24">
        <f t="shared" si="2"/>
        <v>0.875</v>
      </c>
    </row>
    <row r="63" spans="1:9" x14ac:dyDescent="0.3">
      <c r="A63" s="22" t="str">
        <v>EMP061</v>
      </c>
      <c r="B63" s="22" t="str">
        <v>Kishore P</v>
      </c>
      <c r="C63" s="22" t="str">
        <f>_xlfn.XLOOKUP('MONTHLY ATTENDANCE SUMMARY'!A63,'EMPLOYEE MASTER DATA'!A64:A363,'EMPLOYEE MASTER DATA'!D64:D363)</f>
        <v>Maintenance</v>
      </c>
      <c r="D63" s="22">
        <v>18</v>
      </c>
      <c r="E63" s="22">
        <f t="shared" si="0"/>
        <v>4</v>
      </c>
      <c r="F63" s="22">
        <v>2</v>
      </c>
      <c r="G63" s="22">
        <v>4</v>
      </c>
      <c r="H63" s="23">
        <f t="shared" si="1"/>
        <v>6.375</v>
      </c>
      <c r="I63" s="24">
        <f t="shared" si="2"/>
        <v>0.75</v>
      </c>
    </row>
    <row r="64" spans="1:9" x14ac:dyDescent="0.3">
      <c r="A64" s="22" t="str">
        <v>EMP062</v>
      </c>
      <c r="B64" s="22" t="str">
        <v>Manoj Raj</v>
      </c>
      <c r="C64" s="22" t="str">
        <f>_xlfn.XLOOKUP('MONTHLY ATTENDANCE SUMMARY'!A64,'EMPLOYEE MASTER DATA'!A65:A364,'EMPLOYEE MASTER DATA'!D65:D364)</f>
        <v>Back End</v>
      </c>
      <c r="D64" s="22">
        <v>18</v>
      </c>
      <c r="E64" s="22">
        <f t="shared" si="0"/>
        <v>4</v>
      </c>
      <c r="F64" s="22">
        <v>2</v>
      </c>
      <c r="G64" s="22">
        <v>4</v>
      </c>
      <c r="H64" s="23">
        <f t="shared" si="1"/>
        <v>6.375</v>
      </c>
      <c r="I64" s="24">
        <f t="shared" si="2"/>
        <v>0.75</v>
      </c>
    </row>
    <row r="65" spans="1:9" x14ac:dyDescent="0.3">
      <c r="A65" s="22" t="str">
        <v>EMP063</v>
      </c>
      <c r="B65" s="22" t="str">
        <v>Rahul Kumar</v>
      </c>
      <c r="C65" s="22" t="str">
        <f>_xlfn.XLOOKUP('MONTHLY ATTENDANCE SUMMARY'!A65,'EMPLOYEE MASTER DATA'!A66:A365,'EMPLOYEE MASTER DATA'!D66:D365)</f>
        <v>Maintenance</v>
      </c>
      <c r="D65" s="22">
        <v>19</v>
      </c>
      <c r="E65" s="22">
        <f t="shared" si="0"/>
        <v>4</v>
      </c>
      <c r="F65" s="22">
        <v>1</v>
      </c>
      <c r="G65" s="22">
        <v>4</v>
      </c>
      <c r="H65" s="23">
        <f t="shared" si="1"/>
        <v>6.729166666666667</v>
      </c>
      <c r="I65" s="24">
        <f t="shared" si="2"/>
        <v>0.79166666666666663</v>
      </c>
    </row>
    <row r="66" spans="1:9" x14ac:dyDescent="0.3">
      <c r="A66" s="22" t="str">
        <v>EMP064</v>
      </c>
      <c r="B66" s="22" t="str">
        <v>Ajay V</v>
      </c>
      <c r="C66" s="22" t="str">
        <f>_xlfn.XLOOKUP('MONTHLY ATTENDANCE SUMMARY'!A66,'EMPLOYEE MASTER DATA'!A67:A366,'EMPLOYEE MASTER DATA'!D67:D366)</f>
        <v>Maintenance</v>
      </c>
      <c r="D66" s="22">
        <v>21</v>
      </c>
      <c r="E66" s="22">
        <f t="shared" si="0"/>
        <v>2</v>
      </c>
      <c r="F66" s="22">
        <v>1</v>
      </c>
      <c r="G66" s="22">
        <v>4</v>
      </c>
      <c r="H66" s="23">
        <f t="shared" si="1"/>
        <v>7.4375</v>
      </c>
      <c r="I66" s="24">
        <f t="shared" si="2"/>
        <v>0.875</v>
      </c>
    </row>
    <row r="67" spans="1:9" x14ac:dyDescent="0.3">
      <c r="A67" s="22" t="str">
        <v>EMP065</v>
      </c>
      <c r="B67" s="22" t="str">
        <v>Rahul P</v>
      </c>
      <c r="C67" s="22" t="str">
        <f>_xlfn.XLOOKUP('MONTHLY ATTENDANCE SUMMARY'!A67,'EMPLOYEE MASTER DATA'!A68:A367,'EMPLOYEE MASTER DATA'!D68:D367)</f>
        <v>Maintenance</v>
      </c>
      <c r="D67" s="22">
        <v>20</v>
      </c>
      <c r="E67" s="22">
        <f t="shared" ref="E67:E130" si="3">MAX(0,24-(D67+F67))</f>
        <v>3</v>
      </c>
      <c r="F67" s="22">
        <v>1</v>
      </c>
      <c r="G67" s="22">
        <v>4</v>
      </c>
      <c r="H67" s="23">
        <f t="shared" ref="H67:H130" si="4">D67*TIME(8,30,0)</f>
        <v>7.0833333333333339</v>
      </c>
      <c r="I67" s="24">
        <f t="shared" ref="I67:I130" si="5">IF(D67+E67+F67=0,0,D67/(D67+E67+F67))</f>
        <v>0.83333333333333337</v>
      </c>
    </row>
    <row r="68" spans="1:9" x14ac:dyDescent="0.3">
      <c r="A68" s="22" t="str">
        <v>EMP066</v>
      </c>
      <c r="B68" s="22" t="str">
        <v>Saravanan K</v>
      </c>
      <c r="C68" s="22" t="str">
        <f>_xlfn.XLOOKUP('MONTHLY ATTENDANCE SUMMARY'!A68,'EMPLOYEE MASTER DATA'!A69:A368,'EMPLOYEE MASTER DATA'!D69:D368)</f>
        <v>Front Office</v>
      </c>
      <c r="D68" s="22">
        <v>18</v>
      </c>
      <c r="E68" s="22">
        <f t="shared" si="3"/>
        <v>4</v>
      </c>
      <c r="F68" s="22">
        <v>2</v>
      </c>
      <c r="G68" s="22">
        <v>4</v>
      </c>
      <c r="H68" s="23">
        <f t="shared" si="4"/>
        <v>6.375</v>
      </c>
      <c r="I68" s="24">
        <f t="shared" si="5"/>
        <v>0.75</v>
      </c>
    </row>
    <row r="69" spans="1:9" x14ac:dyDescent="0.3">
      <c r="A69" s="22" t="str">
        <v>EMP067</v>
      </c>
      <c r="B69" s="22" t="str">
        <v>Vignesh Raja</v>
      </c>
      <c r="C69" s="22" t="str">
        <f>_xlfn.XLOOKUP('MONTHLY ATTENDANCE SUMMARY'!A69,'EMPLOYEE MASTER DATA'!A70:A369,'EMPLOYEE MASTER DATA'!D70:D369)</f>
        <v>Accounts</v>
      </c>
      <c r="D69" s="22">
        <v>19</v>
      </c>
      <c r="E69" s="22">
        <f t="shared" si="3"/>
        <v>3</v>
      </c>
      <c r="F69" s="22">
        <v>2</v>
      </c>
      <c r="G69" s="22">
        <v>4</v>
      </c>
      <c r="H69" s="23">
        <f t="shared" si="4"/>
        <v>6.729166666666667</v>
      </c>
      <c r="I69" s="24">
        <f t="shared" si="5"/>
        <v>0.79166666666666663</v>
      </c>
    </row>
    <row r="70" spans="1:9" x14ac:dyDescent="0.3">
      <c r="A70" s="22" t="str">
        <v>EMP068</v>
      </c>
      <c r="B70" s="22" t="str">
        <v>Vignesh V</v>
      </c>
      <c r="C70" s="22" t="str">
        <f>_xlfn.XLOOKUP('MONTHLY ATTENDANCE SUMMARY'!A70,'EMPLOYEE MASTER DATA'!A71:A370,'EMPLOYEE MASTER DATA'!D71:D370)</f>
        <v>HR</v>
      </c>
      <c r="D70" s="22">
        <v>22</v>
      </c>
      <c r="E70" s="22">
        <f t="shared" si="3"/>
        <v>1</v>
      </c>
      <c r="F70" s="22">
        <v>1</v>
      </c>
      <c r="G70" s="22">
        <v>4</v>
      </c>
      <c r="H70" s="23">
        <f t="shared" si="4"/>
        <v>7.791666666666667</v>
      </c>
      <c r="I70" s="24">
        <f t="shared" si="5"/>
        <v>0.91666666666666663</v>
      </c>
    </row>
    <row r="71" spans="1:9" x14ac:dyDescent="0.3">
      <c r="A71" s="22" t="str">
        <v>EMP069</v>
      </c>
      <c r="B71" s="22" t="str">
        <v>Yogesh M</v>
      </c>
      <c r="C71" s="22" t="str">
        <f>_xlfn.XLOOKUP('MONTHLY ATTENDANCE SUMMARY'!A71,'EMPLOYEE MASTER DATA'!A72:A371,'EMPLOYEE MASTER DATA'!D72:D371)</f>
        <v>Accounts</v>
      </c>
      <c r="D71" s="22">
        <v>22</v>
      </c>
      <c r="E71" s="22">
        <f t="shared" si="3"/>
        <v>1</v>
      </c>
      <c r="F71" s="22">
        <v>1</v>
      </c>
      <c r="G71" s="22">
        <v>4</v>
      </c>
      <c r="H71" s="23">
        <f t="shared" si="4"/>
        <v>7.791666666666667</v>
      </c>
      <c r="I71" s="24">
        <f t="shared" si="5"/>
        <v>0.91666666666666663</v>
      </c>
    </row>
    <row r="72" spans="1:9" x14ac:dyDescent="0.3">
      <c r="A72" s="22" t="str">
        <v>EMP070</v>
      </c>
      <c r="B72" s="22" t="str">
        <v>Rahul Krishnan</v>
      </c>
      <c r="C72" s="22" t="str">
        <f>_xlfn.XLOOKUP('MONTHLY ATTENDANCE SUMMARY'!A72,'EMPLOYEE MASTER DATA'!A73:A372,'EMPLOYEE MASTER DATA'!D73:D372)</f>
        <v>Accounts</v>
      </c>
      <c r="D72" s="22">
        <v>21</v>
      </c>
      <c r="E72" s="22">
        <f t="shared" si="3"/>
        <v>1</v>
      </c>
      <c r="F72" s="22">
        <v>2</v>
      </c>
      <c r="G72" s="22">
        <v>4</v>
      </c>
      <c r="H72" s="23">
        <f t="shared" si="4"/>
        <v>7.4375</v>
      </c>
      <c r="I72" s="24">
        <f t="shared" si="5"/>
        <v>0.875</v>
      </c>
    </row>
    <row r="73" spans="1:9" x14ac:dyDescent="0.3">
      <c r="A73" s="22" t="str">
        <v>EMP071</v>
      </c>
      <c r="B73" s="22" t="str">
        <v>Yuvaraj Kumar</v>
      </c>
      <c r="C73" s="22" t="str">
        <f>_xlfn.XLOOKUP('MONTHLY ATTENDANCE SUMMARY'!A73,'EMPLOYEE MASTER DATA'!A74:A373,'EMPLOYEE MASTER DATA'!D74:D373)</f>
        <v>Production</v>
      </c>
      <c r="D73" s="22">
        <v>21</v>
      </c>
      <c r="E73" s="22">
        <f t="shared" si="3"/>
        <v>2</v>
      </c>
      <c r="F73" s="22">
        <v>1</v>
      </c>
      <c r="G73" s="22">
        <v>4</v>
      </c>
      <c r="H73" s="23">
        <f t="shared" si="4"/>
        <v>7.4375</v>
      </c>
      <c r="I73" s="24">
        <f t="shared" si="5"/>
        <v>0.875</v>
      </c>
    </row>
    <row r="74" spans="1:9" x14ac:dyDescent="0.3">
      <c r="A74" s="22" t="str">
        <v>EMP072</v>
      </c>
      <c r="B74" s="22" t="str">
        <v>Sanjay S</v>
      </c>
      <c r="C74" s="22" t="str">
        <f>_xlfn.XLOOKUP('MONTHLY ATTENDANCE SUMMARY'!A74,'EMPLOYEE MASTER DATA'!A75:A374,'EMPLOYEE MASTER DATA'!D75:D374)</f>
        <v>Accounts</v>
      </c>
      <c r="D74" s="22">
        <v>21</v>
      </c>
      <c r="E74" s="22">
        <f t="shared" si="3"/>
        <v>2</v>
      </c>
      <c r="F74" s="22">
        <v>1</v>
      </c>
      <c r="G74" s="22">
        <v>4</v>
      </c>
      <c r="H74" s="23">
        <f t="shared" si="4"/>
        <v>7.4375</v>
      </c>
      <c r="I74" s="24">
        <f t="shared" si="5"/>
        <v>0.875</v>
      </c>
    </row>
    <row r="75" spans="1:9" x14ac:dyDescent="0.3">
      <c r="A75" s="22" t="str">
        <v>EMP073</v>
      </c>
      <c r="B75" s="22" t="str">
        <v>Sanjay Kumar</v>
      </c>
      <c r="C75" s="22" t="str">
        <f>_xlfn.XLOOKUP('MONTHLY ATTENDANCE SUMMARY'!A75,'EMPLOYEE MASTER DATA'!A76:A375,'EMPLOYEE MASTER DATA'!D76:D375)</f>
        <v>Business Development</v>
      </c>
      <c r="D75" s="22">
        <v>20</v>
      </c>
      <c r="E75" s="22">
        <f t="shared" si="3"/>
        <v>2</v>
      </c>
      <c r="F75" s="22">
        <v>2</v>
      </c>
      <c r="G75" s="22">
        <v>4</v>
      </c>
      <c r="H75" s="23">
        <f t="shared" si="4"/>
        <v>7.0833333333333339</v>
      </c>
      <c r="I75" s="24">
        <f t="shared" si="5"/>
        <v>0.83333333333333337</v>
      </c>
    </row>
    <row r="76" spans="1:9" x14ac:dyDescent="0.3">
      <c r="A76" s="22" t="str">
        <v>EMP074</v>
      </c>
      <c r="B76" s="22" t="str">
        <v>Vinoth Raja</v>
      </c>
      <c r="C76" s="22" t="str">
        <f>_xlfn.XLOOKUP('MONTHLY ATTENDANCE SUMMARY'!A76,'EMPLOYEE MASTER DATA'!A77:A376,'EMPLOYEE MASTER DATA'!D77:D376)</f>
        <v>Admin</v>
      </c>
      <c r="D76" s="22">
        <v>22</v>
      </c>
      <c r="E76" s="22">
        <f t="shared" si="3"/>
        <v>1</v>
      </c>
      <c r="F76" s="22">
        <v>1</v>
      </c>
      <c r="G76" s="22">
        <v>4</v>
      </c>
      <c r="H76" s="23">
        <f t="shared" si="4"/>
        <v>7.791666666666667</v>
      </c>
      <c r="I76" s="24">
        <f t="shared" si="5"/>
        <v>0.91666666666666663</v>
      </c>
    </row>
    <row r="77" spans="1:9" x14ac:dyDescent="0.3">
      <c r="A77" s="22" t="str">
        <v>EMP075</v>
      </c>
      <c r="B77" s="22" t="str">
        <v>Madhan B</v>
      </c>
      <c r="C77" s="22" t="str">
        <f>_xlfn.XLOOKUP('MONTHLY ATTENDANCE SUMMARY'!A77,'EMPLOYEE MASTER DATA'!A78:A377,'EMPLOYEE MASTER DATA'!D78:D377)</f>
        <v>Maintenance</v>
      </c>
      <c r="D77" s="22">
        <v>21</v>
      </c>
      <c r="E77" s="22">
        <f t="shared" si="3"/>
        <v>2</v>
      </c>
      <c r="F77" s="22">
        <v>1</v>
      </c>
      <c r="G77" s="22">
        <v>4</v>
      </c>
      <c r="H77" s="23">
        <f t="shared" si="4"/>
        <v>7.4375</v>
      </c>
      <c r="I77" s="24">
        <f t="shared" si="5"/>
        <v>0.875</v>
      </c>
    </row>
    <row r="78" spans="1:9" x14ac:dyDescent="0.3">
      <c r="A78" s="22" t="str">
        <v>EMP076</v>
      </c>
      <c r="B78" s="22" t="str">
        <v>Prakash T</v>
      </c>
      <c r="C78" s="22" t="str">
        <f>_xlfn.XLOOKUP('MONTHLY ATTENDANCE SUMMARY'!A78,'EMPLOYEE MASTER DATA'!A79:A378,'EMPLOYEE MASTER DATA'!D79:D378)</f>
        <v>Accounts</v>
      </c>
      <c r="D78" s="22">
        <v>18</v>
      </c>
      <c r="E78" s="22">
        <f t="shared" si="3"/>
        <v>5</v>
      </c>
      <c r="F78" s="22">
        <v>1</v>
      </c>
      <c r="G78" s="22">
        <v>4</v>
      </c>
      <c r="H78" s="23">
        <f t="shared" si="4"/>
        <v>6.375</v>
      </c>
      <c r="I78" s="24">
        <f t="shared" si="5"/>
        <v>0.75</v>
      </c>
    </row>
    <row r="79" spans="1:9" x14ac:dyDescent="0.3">
      <c r="A79" s="22" t="str">
        <v>EMP077</v>
      </c>
      <c r="B79" s="22" t="str">
        <v>Mohan Narayanan</v>
      </c>
      <c r="C79" s="22" t="str">
        <f>_xlfn.XLOOKUP('MONTHLY ATTENDANCE SUMMARY'!A79,'EMPLOYEE MASTER DATA'!A80:A379,'EMPLOYEE MASTER DATA'!D80:D379)</f>
        <v>Maintenance</v>
      </c>
      <c r="D79" s="22">
        <v>21</v>
      </c>
      <c r="E79" s="22">
        <f t="shared" si="3"/>
        <v>1</v>
      </c>
      <c r="F79" s="22">
        <v>2</v>
      </c>
      <c r="G79" s="22">
        <v>4</v>
      </c>
      <c r="H79" s="23">
        <f t="shared" si="4"/>
        <v>7.4375</v>
      </c>
      <c r="I79" s="24">
        <f t="shared" si="5"/>
        <v>0.875</v>
      </c>
    </row>
    <row r="80" spans="1:9" x14ac:dyDescent="0.3">
      <c r="A80" s="22" t="str">
        <v>EMP078</v>
      </c>
      <c r="B80" s="22" t="str">
        <v>Harish Babu</v>
      </c>
      <c r="C80" s="22" t="str">
        <f>_xlfn.XLOOKUP('MONTHLY ATTENDANCE SUMMARY'!A80,'EMPLOYEE MASTER DATA'!A81:A380,'EMPLOYEE MASTER DATA'!D81:D380)</f>
        <v>Business Development</v>
      </c>
      <c r="D80" s="22">
        <v>18</v>
      </c>
      <c r="E80" s="22">
        <f t="shared" si="3"/>
        <v>4</v>
      </c>
      <c r="F80" s="22">
        <v>2</v>
      </c>
      <c r="G80" s="22">
        <v>4</v>
      </c>
      <c r="H80" s="23">
        <f t="shared" si="4"/>
        <v>6.375</v>
      </c>
      <c r="I80" s="24">
        <f t="shared" si="5"/>
        <v>0.75</v>
      </c>
    </row>
    <row r="81" spans="1:9" x14ac:dyDescent="0.3">
      <c r="A81" s="22" t="str">
        <v>EMP079</v>
      </c>
      <c r="B81" s="22" t="str">
        <v>Nithin P</v>
      </c>
      <c r="C81" s="22" t="str">
        <f>_xlfn.XLOOKUP('MONTHLY ATTENDANCE SUMMARY'!A81,'EMPLOYEE MASTER DATA'!A82:A381,'EMPLOYEE MASTER DATA'!D82:D381)</f>
        <v>Front Office</v>
      </c>
      <c r="D81" s="22">
        <v>18</v>
      </c>
      <c r="E81" s="22">
        <f t="shared" si="3"/>
        <v>4</v>
      </c>
      <c r="F81" s="22">
        <v>2</v>
      </c>
      <c r="G81" s="22">
        <v>4</v>
      </c>
      <c r="H81" s="23">
        <f t="shared" si="4"/>
        <v>6.375</v>
      </c>
      <c r="I81" s="24">
        <f t="shared" si="5"/>
        <v>0.75</v>
      </c>
    </row>
    <row r="82" spans="1:9" x14ac:dyDescent="0.3">
      <c r="A82" s="22" t="str">
        <v>EMP080</v>
      </c>
      <c r="B82" s="22" t="str">
        <v>Aravind N</v>
      </c>
      <c r="C82" s="22" t="str">
        <f>_xlfn.XLOOKUP('MONTHLY ATTENDANCE SUMMARY'!A82,'EMPLOYEE MASTER DATA'!A83:A382,'EMPLOYEE MASTER DATA'!D83:D382)</f>
        <v>Business Development</v>
      </c>
      <c r="D82" s="22">
        <v>20</v>
      </c>
      <c r="E82" s="22">
        <f t="shared" si="3"/>
        <v>3</v>
      </c>
      <c r="F82" s="22">
        <v>1</v>
      </c>
      <c r="G82" s="22">
        <v>4</v>
      </c>
      <c r="H82" s="23">
        <f t="shared" si="4"/>
        <v>7.0833333333333339</v>
      </c>
      <c r="I82" s="24">
        <f t="shared" si="5"/>
        <v>0.83333333333333337</v>
      </c>
    </row>
    <row r="83" spans="1:9" x14ac:dyDescent="0.3">
      <c r="A83" s="22" t="str">
        <v>EMP081</v>
      </c>
      <c r="B83" s="22" t="str">
        <v>Aravind S</v>
      </c>
      <c r="C83" s="22" t="str">
        <f>_xlfn.XLOOKUP('MONTHLY ATTENDANCE SUMMARY'!A83,'EMPLOYEE MASTER DATA'!A84:A383,'EMPLOYEE MASTER DATA'!D84:D383)</f>
        <v>IT</v>
      </c>
      <c r="D83" s="22">
        <v>19</v>
      </c>
      <c r="E83" s="22">
        <f t="shared" si="3"/>
        <v>4</v>
      </c>
      <c r="F83" s="22">
        <v>1</v>
      </c>
      <c r="G83" s="22">
        <v>4</v>
      </c>
      <c r="H83" s="23">
        <f t="shared" si="4"/>
        <v>6.729166666666667</v>
      </c>
      <c r="I83" s="24">
        <f t="shared" si="5"/>
        <v>0.79166666666666663</v>
      </c>
    </row>
    <row r="84" spans="1:9" x14ac:dyDescent="0.3">
      <c r="A84" s="22" t="str">
        <v>EMP082</v>
      </c>
      <c r="B84" s="22" t="str">
        <v>Bharath K</v>
      </c>
      <c r="C84" s="22" t="str">
        <f>_xlfn.XLOOKUP('MONTHLY ATTENDANCE SUMMARY'!A84,'EMPLOYEE MASTER DATA'!A85:A384,'EMPLOYEE MASTER DATA'!D85:D384)</f>
        <v>Customer Relationship</v>
      </c>
      <c r="D84" s="22">
        <v>19</v>
      </c>
      <c r="E84" s="22">
        <f t="shared" si="3"/>
        <v>3</v>
      </c>
      <c r="F84" s="22">
        <v>2</v>
      </c>
      <c r="G84" s="22">
        <v>4</v>
      </c>
      <c r="H84" s="23">
        <f t="shared" si="4"/>
        <v>6.729166666666667</v>
      </c>
      <c r="I84" s="24">
        <f t="shared" si="5"/>
        <v>0.79166666666666663</v>
      </c>
    </row>
    <row r="85" spans="1:9" x14ac:dyDescent="0.3">
      <c r="A85" s="22" t="str">
        <v>EMP083</v>
      </c>
      <c r="B85" s="22" t="str">
        <v>Arun R</v>
      </c>
      <c r="C85" s="22" t="str">
        <f>_xlfn.XLOOKUP('MONTHLY ATTENDANCE SUMMARY'!A85,'EMPLOYEE MASTER DATA'!A86:A385,'EMPLOYEE MASTER DATA'!D86:D385)</f>
        <v>Production</v>
      </c>
      <c r="D85" s="22">
        <v>22</v>
      </c>
      <c r="E85" s="22">
        <f t="shared" si="3"/>
        <v>1</v>
      </c>
      <c r="F85" s="22">
        <v>1</v>
      </c>
      <c r="G85" s="22">
        <v>4</v>
      </c>
      <c r="H85" s="23">
        <f t="shared" si="4"/>
        <v>7.791666666666667</v>
      </c>
      <c r="I85" s="24">
        <f t="shared" si="5"/>
        <v>0.91666666666666663</v>
      </c>
    </row>
    <row r="86" spans="1:9" x14ac:dyDescent="0.3">
      <c r="A86" s="22" t="str">
        <v>EMP084</v>
      </c>
      <c r="B86" s="22" t="str">
        <v>Arun Raja</v>
      </c>
      <c r="C86" s="22" t="str">
        <f>_xlfn.XLOOKUP('MONTHLY ATTENDANCE SUMMARY'!A86,'EMPLOYEE MASTER DATA'!A87:A386,'EMPLOYEE MASTER DATA'!D87:D386)</f>
        <v>Business Development</v>
      </c>
      <c r="D86" s="22">
        <v>22</v>
      </c>
      <c r="E86" s="22">
        <f t="shared" si="3"/>
        <v>0</v>
      </c>
      <c r="F86" s="22">
        <v>2</v>
      </c>
      <c r="G86" s="22">
        <v>4</v>
      </c>
      <c r="H86" s="23">
        <f t="shared" si="4"/>
        <v>7.791666666666667</v>
      </c>
      <c r="I86" s="24">
        <f t="shared" si="5"/>
        <v>0.91666666666666663</v>
      </c>
    </row>
    <row r="87" spans="1:9" x14ac:dyDescent="0.3">
      <c r="A87" s="22" t="str">
        <v>EMP085</v>
      </c>
      <c r="B87" s="22" t="str">
        <v>Manoj Krishnan</v>
      </c>
      <c r="C87" s="22" t="str">
        <f>_xlfn.XLOOKUP('MONTHLY ATTENDANCE SUMMARY'!A87,'EMPLOYEE MASTER DATA'!A88:A387,'EMPLOYEE MASTER DATA'!D88:D387)</f>
        <v>HR</v>
      </c>
      <c r="D87" s="22">
        <v>21</v>
      </c>
      <c r="E87" s="22">
        <f t="shared" si="3"/>
        <v>2</v>
      </c>
      <c r="F87" s="22">
        <v>1</v>
      </c>
      <c r="G87" s="22">
        <v>4</v>
      </c>
      <c r="H87" s="23">
        <f t="shared" si="4"/>
        <v>7.4375</v>
      </c>
      <c r="I87" s="24">
        <f t="shared" si="5"/>
        <v>0.875</v>
      </c>
    </row>
    <row r="88" spans="1:9" x14ac:dyDescent="0.3">
      <c r="A88" s="22" t="str">
        <v>EMP086</v>
      </c>
      <c r="B88" s="22" t="str">
        <v>Naveen B</v>
      </c>
      <c r="C88" s="22" t="str">
        <f>_xlfn.XLOOKUP('MONTHLY ATTENDANCE SUMMARY'!A88,'EMPLOYEE MASTER DATA'!A89:A388,'EMPLOYEE MASTER DATA'!D89:D388)</f>
        <v>Maintenance</v>
      </c>
      <c r="D88" s="22">
        <v>22</v>
      </c>
      <c r="E88" s="22">
        <f t="shared" si="3"/>
        <v>1</v>
      </c>
      <c r="F88" s="22">
        <v>1</v>
      </c>
      <c r="G88" s="22">
        <v>4</v>
      </c>
      <c r="H88" s="23">
        <f t="shared" si="4"/>
        <v>7.791666666666667</v>
      </c>
      <c r="I88" s="24">
        <f t="shared" si="5"/>
        <v>0.91666666666666663</v>
      </c>
    </row>
    <row r="89" spans="1:9" x14ac:dyDescent="0.3">
      <c r="A89" s="22" t="str">
        <v>EMP087</v>
      </c>
      <c r="B89" s="22" t="str">
        <v>Suresh Kumar</v>
      </c>
      <c r="C89" s="22" t="str">
        <f>_xlfn.XLOOKUP('MONTHLY ATTENDANCE SUMMARY'!A89,'EMPLOYEE MASTER DATA'!A90:A389,'EMPLOYEE MASTER DATA'!D90:D389)</f>
        <v>Maintenance</v>
      </c>
      <c r="D89" s="22">
        <v>22</v>
      </c>
      <c r="E89" s="22">
        <f t="shared" si="3"/>
        <v>1</v>
      </c>
      <c r="F89" s="22">
        <v>1</v>
      </c>
      <c r="G89" s="22">
        <v>4</v>
      </c>
      <c r="H89" s="23">
        <f t="shared" si="4"/>
        <v>7.791666666666667</v>
      </c>
      <c r="I89" s="24">
        <f t="shared" si="5"/>
        <v>0.91666666666666663</v>
      </c>
    </row>
    <row r="90" spans="1:9" x14ac:dyDescent="0.3">
      <c r="A90" s="22" t="str">
        <v>EMP088</v>
      </c>
      <c r="B90" s="22" t="str">
        <v>Ashwin R</v>
      </c>
      <c r="C90" s="22" t="str">
        <f>_xlfn.XLOOKUP('MONTHLY ATTENDANCE SUMMARY'!A90,'EMPLOYEE MASTER DATA'!A91:A390,'EMPLOYEE MASTER DATA'!D91:D390)</f>
        <v>Sales</v>
      </c>
      <c r="D90" s="22">
        <v>22</v>
      </c>
      <c r="E90" s="22">
        <f t="shared" si="3"/>
        <v>0</v>
      </c>
      <c r="F90" s="22">
        <v>2</v>
      </c>
      <c r="G90" s="22">
        <v>4</v>
      </c>
      <c r="H90" s="23">
        <f t="shared" si="4"/>
        <v>7.791666666666667</v>
      </c>
      <c r="I90" s="24">
        <f t="shared" si="5"/>
        <v>0.91666666666666663</v>
      </c>
    </row>
    <row r="91" spans="1:9" x14ac:dyDescent="0.3">
      <c r="A91" s="22" t="str">
        <v>EMP089</v>
      </c>
      <c r="B91" s="22" t="str">
        <v>Vinoth G</v>
      </c>
      <c r="C91" s="22" t="str">
        <f>_xlfn.XLOOKUP('MONTHLY ATTENDANCE SUMMARY'!A91,'EMPLOYEE MASTER DATA'!A92:A391,'EMPLOYEE MASTER DATA'!D92:D391)</f>
        <v>Maintenance</v>
      </c>
      <c r="D91" s="22">
        <v>21</v>
      </c>
      <c r="E91" s="22">
        <f t="shared" si="3"/>
        <v>1</v>
      </c>
      <c r="F91" s="22">
        <v>2</v>
      </c>
      <c r="G91" s="22">
        <v>4</v>
      </c>
      <c r="H91" s="23">
        <f t="shared" si="4"/>
        <v>7.4375</v>
      </c>
      <c r="I91" s="24">
        <f t="shared" si="5"/>
        <v>0.875</v>
      </c>
    </row>
    <row r="92" spans="1:9" x14ac:dyDescent="0.3">
      <c r="A92" s="22" t="str">
        <v>EMP090</v>
      </c>
      <c r="B92" s="22" t="str">
        <v>Ajay K</v>
      </c>
      <c r="C92" s="22" t="str">
        <f>_xlfn.XLOOKUP('MONTHLY ATTENDANCE SUMMARY'!A92,'EMPLOYEE MASTER DATA'!A93:A392,'EMPLOYEE MASTER DATA'!D93:D392)</f>
        <v>Sales</v>
      </c>
      <c r="D92" s="22">
        <v>18</v>
      </c>
      <c r="E92" s="22">
        <f t="shared" si="3"/>
        <v>4</v>
      </c>
      <c r="F92" s="22">
        <v>2</v>
      </c>
      <c r="G92" s="22">
        <v>4</v>
      </c>
      <c r="H92" s="23">
        <f t="shared" si="4"/>
        <v>6.375</v>
      </c>
      <c r="I92" s="24">
        <f t="shared" si="5"/>
        <v>0.75</v>
      </c>
    </row>
    <row r="93" spans="1:9" x14ac:dyDescent="0.3">
      <c r="A93" s="22" t="str">
        <v>EMP091</v>
      </c>
      <c r="B93" s="22" t="str">
        <v>Karthik K</v>
      </c>
      <c r="C93" s="22" t="str">
        <f>_xlfn.XLOOKUP('MONTHLY ATTENDANCE SUMMARY'!A93,'EMPLOYEE MASTER DATA'!A94:A393,'EMPLOYEE MASTER DATA'!D94:D393)</f>
        <v>Production</v>
      </c>
      <c r="D93" s="22">
        <v>19</v>
      </c>
      <c r="E93" s="22">
        <f t="shared" si="3"/>
        <v>4</v>
      </c>
      <c r="F93" s="22">
        <v>1</v>
      </c>
      <c r="G93" s="22">
        <v>4</v>
      </c>
      <c r="H93" s="23">
        <f t="shared" si="4"/>
        <v>6.729166666666667</v>
      </c>
      <c r="I93" s="24">
        <f t="shared" si="5"/>
        <v>0.79166666666666663</v>
      </c>
    </row>
    <row r="94" spans="1:9" x14ac:dyDescent="0.3">
      <c r="A94" s="22" t="str">
        <v>EMP092</v>
      </c>
      <c r="B94" s="22" t="str">
        <v>Karthik Babu</v>
      </c>
      <c r="C94" s="22" t="str">
        <f>_xlfn.XLOOKUP('MONTHLY ATTENDANCE SUMMARY'!A94,'EMPLOYEE MASTER DATA'!A95:A394,'EMPLOYEE MASTER DATA'!D95:D394)</f>
        <v>Back End</v>
      </c>
      <c r="D94" s="22">
        <v>21</v>
      </c>
      <c r="E94" s="22">
        <f t="shared" si="3"/>
        <v>1</v>
      </c>
      <c r="F94" s="22">
        <v>2</v>
      </c>
      <c r="G94" s="22">
        <v>4</v>
      </c>
      <c r="H94" s="23">
        <f t="shared" si="4"/>
        <v>7.4375</v>
      </c>
      <c r="I94" s="24">
        <f t="shared" si="5"/>
        <v>0.875</v>
      </c>
    </row>
    <row r="95" spans="1:9" x14ac:dyDescent="0.3">
      <c r="A95" s="22" t="str">
        <v>EMP093</v>
      </c>
      <c r="B95" s="22" t="str">
        <v>Suresh Raj</v>
      </c>
      <c r="C95" s="22" t="str">
        <f>_xlfn.XLOOKUP('MONTHLY ATTENDANCE SUMMARY'!A95,'EMPLOYEE MASTER DATA'!A96:A395,'EMPLOYEE MASTER DATA'!D96:D395)</f>
        <v>Accounts</v>
      </c>
      <c r="D95" s="22">
        <v>22</v>
      </c>
      <c r="E95" s="22">
        <f t="shared" si="3"/>
        <v>0</v>
      </c>
      <c r="F95" s="22">
        <v>2</v>
      </c>
      <c r="G95" s="22">
        <v>4</v>
      </c>
      <c r="H95" s="23">
        <f t="shared" si="4"/>
        <v>7.791666666666667</v>
      </c>
      <c r="I95" s="24">
        <f t="shared" si="5"/>
        <v>0.91666666666666663</v>
      </c>
    </row>
    <row r="96" spans="1:9" x14ac:dyDescent="0.3">
      <c r="A96" s="22" t="str">
        <v>EMP094</v>
      </c>
      <c r="B96" s="22" t="str">
        <v>Saravanan Kumar</v>
      </c>
      <c r="C96" s="22" t="str">
        <f>_xlfn.XLOOKUP('MONTHLY ATTENDANCE SUMMARY'!A96,'EMPLOYEE MASTER DATA'!A97:A396,'EMPLOYEE MASTER DATA'!D97:D396)</f>
        <v>Sales</v>
      </c>
      <c r="D96" s="22">
        <v>18</v>
      </c>
      <c r="E96" s="22">
        <f t="shared" si="3"/>
        <v>4</v>
      </c>
      <c r="F96" s="22">
        <v>2</v>
      </c>
      <c r="G96" s="22">
        <v>4</v>
      </c>
      <c r="H96" s="23">
        <f t="shared" si="4"/>
        <v>6.375</v>
      </c>
      <c r="I96" s="24">
        <f t="shared" si="5"/>
        <v>0.75</v>
      </c>
    </row>
    <row r="97" spans="1:9" x14ac:dyDescent="0.3">
      <c r="A97" s="22" t="str">
        <v>EMP095</v>
      </c>
      <c r="B97" s="22" t="str">
        <v>Lokesh Kumar</v>
      </c>
      <c r="C97" s="22" t="str">
        <f>_xlfn.XLOOKUP('MONTHLY ATTENDANCE SUMMARY'!A97,'EMPLOYEE MASTER DATA'!A98:A397,'EMPLOYEE MASTER DATA'!D98:D397)</f>
        <v>Customer Relationship</v>
      </c>
      <c r="D97" s="22">
        <v>19</v>
      </c>
      <c r="E97" s="22">
        <f t="shared" si="3"/>
        <v>4</v>
      </c>
      <c r="F97" s="22">
        <v>1</v>
      </c>
      <c r="G97" s="22">
        <v>4</v>
      </c>
      <c r="H97" s="23">
        <f t="shared" si="4"/>
        <v>6.729166666666667</v>
      </c>
      <c r="I97" s="24">
        <f t="shared" si="5"/>
        <v>0.79166666666666663</v>
      </c>
    </row>
    <row r="98" spans="1:9" x14ac:dyDescent="0.3">
      <c r="A98" s="22" t="str">
        <v>EMP096</v>
      </c>
      <c r="B98" s="22" t="str">
        <v>Vijay K</v>
      </c>
      <c r="C98" s="22" t="str">
        <f>_xlfn.XLOOKUP('MONTHLY ATTENDANCE SUMMARY'!A98,'EMPLOYEE MASTER DATA'!A99:A398,'EMPLOYEE MASTER DATA'!D99:D398)</f>
        <v>IT</v>
      </c>
      <c r="D98" s="22">
        <v>21</v>
      </c>
      <c r="E98" s="22">
        <f t="shared" si="3"/>
        <v>2</v>
      </c>
      <c r="F98" s="22">
        <v>1</v>
      </c>
      <c r="G98" s="22">
        <v>4</v>
      </c>
      <c r="H98" s="23">
        <f t="shared" si="4"/>
        <v>7.4375</v>
      </c>
      <c r="I98" s="24">
        <f t="shared" si="5"/>
        <v>0.875</v>
      </c>
    </row>
    <row r="99" spans="1:9" x14ac:dyDescent="0.3">
      <c r="A99" s="22" t="str">
        <v>EMP097</v>
      </c>
      <c r="B99" s="22" t="str">
        <v>Sanjay Kannan</v>
      </c>
      <c r="C99" s="22" t="str">
        <f>_xlfn.XLOOKUP('MONTHLY ATTENDANCE SUMMARY'!A99,'EMPLOYEE MASTER DATA'!A100:A399,'EMPLOYEE MASTER DATA'!D100:D399)</f>
        <v>Admin</v>
      </c>
      <c r="D99" s="22">
        <v>20</v>
      </c>
      <c r="E99" s="22">
        <f t="shared" si="3"/>
        <v>2</v>
      </c>
      <c r="F99" s="22">
        <v>2</v>
      </c>
      <c r="G99" s="22">
        <v>4</v>
      </c>
      <c r="H99" s="23">
        <f t="shared" si="4"/>
        <v>7.0833333333333339</v>
      </c>
      <c r="I99" s="24">
        <f t="shared" si="5"/>
        <v>0.83333333333333337</v>
      </c>
    </row>
    <row r="100" spans="1:9" x14ac:dyDescent="0.3">
      <c r="A100" s="22" t="str">
        <v>EMP098</v>
      </c>
      <c r="B100" s="22" t="str">
        <v>Yogesh Kannan</v>
      </c>
      <c r="C100" s="22" t="str">
        <f>_xlfn.XLOOKUP('MONTHLY ATTENDANCE SUMMARY'!A100,'EMPLOYEE MASTER DATA'!A101:A400,'EMPLOYEE MASTER DATA'!D101:D400)</f>
        <v>Customer Relationship</v>
      </c>
      <c r="D100" s="22">
        <v>20</v>
      </c>
      <c r="E100" s="22">
        <f t="shared" si="3"/>
        <v>3</v>
      </c>
      <c r="F100" s="22">
        <v>1</v>
      </c>
      <c r="G100" s="22">
        <v>4</v>
      </c>
      <c r="H100" s="23">
        <f t="shared" si="4"/>
        <v>7.0833333333333339</v>
      </c>
      <c r="I100" s="24">
        <f t="shared" si="5"/>
        <v>0.83333333333333337</v>
      </c>
    </row>
    <row r="101" spans="1:9" x14ac:dyDescent="0.3">
      <c r="A101" s="22" t="str">
        <v>EMP099</v>
      </c>
      <c r="B101" s="22" t="str">
        <v>Yuvaraj N</v>
      </c>
      <c r="C101" s="22" t="str">
        <f>_xlfn.XLOOKUP('MONTHLY ATTENDANCE SUMMARY'!A101,'EMPLOYEE MASTER DATA'!A102:A401,'EMPLOYEE MASTER DATA'!D102:D401)</f>
        <v>Accounts</v>
      </c>
      <c r="D101" s="22">
        <v>12</v>
      </c>
      <c r="E101" s="22">
        <f t="shared" si="3"/>
        <v>10</v>
      </c>
      <c r="F101" s="22">
        <v>2</v>
      </c>
      <c r="G101" s="22">
        <v>4</v>
      </c>
      <c r="H101" s="23">
        <f t="shared" si="4"/>
        <v>4.25</v>
      </c>
      <c r="I101" s="24">
        <f t="shared" si="5"/>
        <v>0.5</v>
      </c>
    </row>
    <row r="102" spans="1:9" x14ac:dyDescent="0.3">
      <c r="A102" s="22" t="str">
        <v>EMP100</v>
      </c>
      <c r="B102" s="22" t="str">
        <v>Deepak K</v>
      </c>
      <c r="C102" s="22" t="str">
        <f>_xlfn.XLOOKUP('MONTHLY ATTENDANCE SUMMARY'!A102,'EMPLOYEE MASTER DATA'!A103:A402,'EMPLOYEE MASTER DATA'!D103:D402)</f>
        <v>Business Development</v>
      </c>
      <c r="D102" s="22">
        <v>20</v>
      </c>
      <c r="E102" s="22">
        <f t="shared" si="3"/>
        <v>3</v>
      </c>
      <c r="F102" s="22">
        <v>1</v>
      </c>
      <c r="G102" s="22">
        <v>4</v>
      </c>
      <c r="H102" s="23">
        <f t="shared" si="4"/>
        <v>7.0833333333333339</v>
      </c>
      <c r="I102" s="24">
        <f t="shared" si="5"/>
        <v>0.83333333333333337</v>
      </c>
    </row>
    <row r="103" spans="1:9" x14ac:dyDescent="0.3">
      <c r="A103" s="22" t="str">
        <v>EMP101</v>
      </c>
      <c r="B103" s="22" t="str">
        <v>Rahul Babu</v>
      </c>
      <c r="C103" s="22" t="str">
        <f>_xlfn.XLOOKUP('MONTHLY ATTENDANCE SUMMARY'!A103,'EMPLOYEE MASTER DATA'!A104:A403,'EMPLOYEE MASTER DATA'!D104:D403)</f>
        <v>Business Development</v>
      </c>
      <c r="D103" s="22">
        <v>21</v>
      </c>
      <c r="E103" s="22">
        <f t="shared" si="3"/>
        <v>2</v>
      </c>
      <c r="F103" s="22">
        <v>1</v>
      </c>
      <c r="G103" s="22">
        <v>4</v>
      </c>
      <c r="H103" s="23">
        <f t="shared" si="4"/>
        <v>7.4375</v>
      </c>
      <c r="I103" s="24">
        <f t="shared" si="5"/>
        <v>0.875</v>
      </c>
    </row>
    <row r="104" spans="1:9" x14ac:dyDescent="0.3">
      <c r="A104" s="22" t="str">
        <v>EMP102</v>
      </c>
      <c r="B104" s="22" t="str">
        <v>Deepak N</v>
      </c>
      <c r="C104" s="22" t="str">
        <f>_xlfn.XLOOKUP('MONTHLY ATTENDANCE SUMMARY'!A104,'EMPLOYEE MASTER DATA'!A105:A404,'EMPLOYEE MASTER DATA'!D105:D404)</f>
        <v>Customer Relationship</v>
      </c>
      <c r="D104" s="22">
        <v>19</v>
      </c>
      <c r="E104" s="22">
        <f t="shared" si="3"/>
        <v>4</v>
      </c>
      <c r="F104" s="22">
        <v>1</v>
      </c>
      <c r="G104" s="22">
        <v>4</v>
      </c>
      <c r="H104" s="23">
        <f t="shared" si="4"/>
        <v>6.729166666666667</v>
      </c>
      <c r="I104" s="24">
        <f t="shared" si="5"/>
        <v>0.79166666666666663</v>
      </c>
    </row>
    <row r="105" spans="1:9" x14ac:dyDescent="0.3">
      <c r="A105" s="22" t="str">
        <v>EMP103</v>
      </c>
      <c r="B105" s="22" t="str">
        <v>Kishore G</v>
      </c>
      <c r="C105" s="22" t="str">
        <f>_xlfn.XLOOKUP('MONTHLY ATTENDANCE SUMMARY'!A105,'EMPLOYEE MASTER DATA'!A106:A405,'EMPLOYEE MASTER DATA'!D106:D405)</f>
        <v>Procurement</v>
      </c>
      <c r="D105" s="22">
        <v>20</v>
      </c>
      <c r="E105" s="22">
        <f t="shared" si="3"/>
        <v>3</v>
      </c>
      <c r="F105" s="22">
        <v>1</v>
      </c>
      <c r="G105" s="22">
        <v>4</v>
      </c>
      <c r="H105" s="23">
        <f t="shared" si="4"/>
        <v>7.0833333333333339</v>
      </c>
      <c r="I105" s="24">
        <f t="shared" si="5"/>
        <v>0.83333333333333337</v>
      </c>
    </row>
    <row r="106" spans="1:9" x14ac:dyDescent="0.3">
      <c r="A106" s="22" t="str">
        <v>EMP104</v>
      </c>
      <c r="B106" s="22" t="str">
        <v>Deepak P</v>
      </c>
      <c r="C106" s="22" t="str">
        <f>_xlfn.XLOOKUP('MONTHLY ATTENDANCE SUMMARY'!A106,'EMPLOYEE MASTER DATA'!A107:A406,'EMPLOYEE MASTER DATA'!D107:D406)</f>
        <v>Sales</v>
      </c>
      <c r="D106" s="22">
        <v>20</v>
      </c>
      <c r="E106" s="22">
        <f t="shared" si="3"/>
        <v>3</v>
      </c>
      <c r="F106" s="22">
        <v>1</v>
      </c>
      <c r="G106" s="22">
        <v>4</v>
      </c>
      <c r="H106" s="23">
        <f t="shared" si="4"/>
        <v>7.0833333333333339</v>
      </c>
      <c r="I106" s="24">
        <f t="shared" si="5"/>
        <v>0.83333333333333337</v>
      </c>
    </row>
    <row r="107" spans="1:9" x14ac:dyDescent="0.3">
      <c r="A107" s="22" t="str">
        <v>EMP105</v>
      </c>
      <c r="B107" s="22" t="str">
        <v>Nithin V</v>
      </c>
      <c r="C107" s="22" t="str">
        <f>_xlfn.XLOOKUP('MONTHLY ATTENDANCE SUMMARY'!A107,'EMPLOYEE MASTER DATA'!A108:A407,'EMPLOYEE MASTER DATA'!D108:D407)</f>
        <v>Accounts</v>
      </c>
      <c r="D107" s="22">
        <v>18</v>
      </c>
      <c r="E107" s="22">
        <f t="shared" si="3"/>
        <v>4</v>
      </c>
      <c r="F107" s="22">
        <v>2</v>
      </c>
      <c r="G107" s="22">
        <v>4</v>
      </c>
      <c r="H107" s="23">
        <f t="shared" si="4"/>
        <v>6.375</v>
      </c>
      <c r="I107" s="24">
        <f t="shared" si="5"/>
        <v>0.75</v>
      </c>
    </row>
    <row r="108" spans="1:9" x14ac:dyDescent="0.3">
      <c r="A108" s="22" t="str">
        <v>EMP106</v>
      </c>
      <c r="B108" s="22" t="str">
        <v>Nithin Raj</v>
      </c>
      <c r="C108" s="22" t="str">
        <f>_xlfn.XLOOKUP('MONTHLY ATTENDANCE SUMMARY'!A108,'EMPLOYEE MASTER DATA'!A109:A408,'EMPLOYEE MASTER DATA'!D109:D408)</f>
        <v>IT</v>
      </c>
      <c r="D108" s="22">
        <v>20</v>
      </c>
      <c r="E108" s="22">
        <f t="shared" si="3"/>
        <v>2</v>
      </c>
      <c r="F108" s="22">
        <v>2</v>
      </c>
      <c r="G108" s="22">
        <v>4</v>
      </c>
      <c r="H108" s="23">
        <f t="shared" si="4"/>
        <v>7.0833333333333339</v>
      </c>
      <c r="I108" s="24">
        <f t="shared" si="5"/>
        <v>0.83333333333333337</v>
      </c>
    </row>
    <row r="109" spans="1:9" x14ac:dyDescent="0.3">
      <c r="A109" s="22" t="str">
        <v>EMP107</v>
      </c>
      <c r="B109" s="22" t="str">
        <v>Dinesh Narayanan</v>
      </c>
      <c r="C109" s="22" t="str">
        <f>_xlfn.XLOOKUP('MONTHLY ATTENDANCE SUMMARY'!A109,'EMPLOYEE MASTER DATA'!A110:A409,'EMPLOYEE MASTER DATA'!D110:D409)</f>
        <v>Sales</v>
      </c>
      <c r="D109" s="22">
        <v>21</v>
      </c>
      <c r="E109" s="22">
        <f t="shared" si="3"/>
        <v>1</v>
      </c>
      <c r="F109" s="22">
        <v>2</v>
      </c>
      <c r="G109" s="22">
        <v>4</v>
      </c>
      <c r="H109" s="23">
        <f t="shared" si="4"/>
        <v>7.4375</v>
      </c>
      <c r="I109" s="24">
        <f t="shared" si="5"/>
        <v>0.875</v>
      </c>
    </row>
    <row r="110" spans="1:9" x14ac:dyDescent="0.3">
      <c r="A110" s="22" t="str">
        <v>EMP108</v>
      </c>
      <c r="B110" s="22" t="str">
        <v>Sanjay Raj</v>
      </c>
      <c r="C110" s="22" t="str">
        <f>_xlfn.XLOOKUP('MONTHLY ATTENDANCE SUMMARY'!A110,'EMPLOYEE MASTER DATA'!A111:A410,'EMPLOYEE MASTER DATA'!D111:D410)</f>
        <v>Admin</v>
      </c>
      <c r="D110" s="22">
        <v>21</v>
      </c>
      <c r="E110" s="22">
        <f t="shared" si="3"/>
        <v>2</v>
      </c>
      <c r="F110" s="22">
        <v>1</v>
      </c>
      <c r="G110" s="22">
        <v>4</v>
      </c>
      <c r="H110" s="23">
        <f t="shared" si="4"/>
        <v>7.4375</v>
      </c>
      <c r="I110" s="24">
        <f t="shared" si="5"/>
        <v>0.875</v>
      </c>
    </row>
    <row r="111" spans="1:9" x14ac:dyDescent="0.3">
      <c r="A111" s="22" t="str">
        <v>EMP109</v>
      </c>
      <c r="B111" s="22" t="str">
        <v>Aravind Narayanan</v>
      </c>
      <c r="C111" s="22" t="str">
        <f>_xlfn.XLOOKUP('MONTHLY ATTENDANCE SUMMARY'!A111,'EMPLOYEE MASTER DATA'!A112:A411,'EMPLOYEE MASTER DATA'!D112:D411)</f>
        <v>Production</v>
      </c>
      <c r="D111" s="22">
        <v>20</v>
      </c>
      <c r="E111" s="22">
        <f t="shared" si="3"/>
        <v>2</v>
      </c>
      <c r="F111" s="22">
        <v>2</v>
      </c>
      <c r="G111" s="22">
        <v>4</v>
      </c>
      <c r="H111" s="23">
        <f t="shared" si="4"/>
        <v>7.0833333333333339</v>
      </c>
      <c r="I111" s="24">
        <f t="shared" si="5"/>
        <v>0.83333333333333337</v>
      </c>
    </row>
    <row r="112" spans="1:9" x14ac:dyDescent="0.3">
      <c r="A112" s="22" t="str">
        <v>EMP110</v>
      </c>
      <c r="B112" s="22" t="str">
        <v>Vijay P</v>
      </c>
      <c r="C112" s="22" t="str">
        <f>_xlfn.XLOOKUP('MONTHLY ATTENDANCE SUMMARY'!A112,'EMPLOYEE MASTER DATA'!A113:A412,'EMPLOYEE MASTER DATA'!D113:D412)</f>
        <v>Production</v>
      </c>
      <c r="D112" s="22">
        <v>19</v>
      </c>
      <c r="E112" s="22">
        <f t="shared" si="3"/>
        <v>3</v>
      </c>
      <c r="F112" s="22">
        <v>2</v>
      </c>
      <c r="G112" s="22">
        <v>4</v>
      </c>
      <c r="H112" s="23">
        <f t="shared" si="4"/>
        <v>6.729166666666667</v>
      </c>
      <c r="I112" s="24">
        <f t="shared" si="5"/>
        <v>0.79166666666666663</v>
      </c>
    </row>
    <row r="113" spans="1:9" x14ac:dyDescent="0.3">
      <c r="A113" s="22" t="str">
        <v>EMP111</v>
      </c>
      <c r="B113" s="22" t="str">
        <v>Rahul T</v>
      </c>
      <c r="C113" s="22" t="str">
        <f>_xlfn.XLOOKUP('MONTHLY ATTENDANCE SUMMARY'!A113,'EMPLOYEE MASTER DATA'!A114:A413,'EMPLOYEE MASTER DATA'!D114:D413)</f>
        <v>Production</v>
      </c>
      <c r="D113" s="22">
        <v>19</v>
      </c>
      <c r="E113" s="22">
        <f t="shared" si="3"/>
        <v>4</v>
      </c>
      <c r="F113" s="22">
        <v>1</v>
      </c>
      <c r="G113" s="22">
        <v>4</v>
      </c>
      <c r="H113" s="23">
        <f t="shared" si="4"/>
        <v>6.729166666666667</v>
      </c>
      <c r="I113" s="24">
        <f t="shared" si="5"/>
        <v>0.79166666666666663</v>
      </c>
    </row>
    <row r="114" spans="1:9" x14ac:dyDescent="0.3">
      <c r="A114" s="22" t="str">
        <v>EMP112</v>
      </c>
      <c r="B114" s="22" t="str">
        <v>Prakash Selvam</v>
      </c>
      <c r="C114" s="22" t="str">
        <f>_xlfn.XLOOKUP('MONTHLY ATTENDANCE SUMMARY'!A114,'EMPLOYEE MASTER DATA'!A115:A414,'EMPLOYEE MASTER DATA'!D115:D414)</f>
        <v>Admin</v>
      </c>
      <c r="D114" s="22">
        <v>19</v>
      </c>
      <c r="E114" s="22">
        <f t="shared" si="3"/>
        <v>3</v>
      </c>
      <c r="F114" s="22">
        <v>2</v>
      </c>
      <c r="G114" s="22">
        <v>4</v>
      </c>
      <c r="H114" s="23">
        <f t="shared" si="4"/>
        <v>6.729166666666667</v>
      </c>
      <c r="I114" s="24">
        <f t="shared" si="5"/>
        <v>0.79166666666666663</v>
      </c>
    </row>
    <row r="115" spans="1:9" x14ac:dyDescent="0.3">
      <c r="A115" s="22" t="str">
        <v>EMP113</v>
      </c>
      <c r="B115" s="22" t="str">
        <v>Sanjay N</v>
      </c>
      <c r="C115" s="22" t="str">
        <f>_xlfn.XLOOKUP('MONTHLY ATTENDANCE SUMMARY'!A115,'EMPLOYEE MASTER DATA'!A116:A415,'EMPLOYEE MASTER DATA'!D116:D415)</f>
        <v>Maintenance</v>
      </c>
      <c r="D115" s="22">
        <v>19</v>
      </c>
      <c r="E115" s="22">
        <f t="shared" si="3"/>
        <v>3</v>
      </c>
      <c r="F115" s="22">
        <v>2</v>
      </c>
      <c r="G115" s="22">
        <v>4</v>
      </c>
      <c r="H115" s="23">
        <f t="shared" si="4"/>
        <v>6.729166666666667</v>
      </c>
      <c r="I115" s="24">
        <f t="shared" si="5"/>
        <v>0.79166666666666663</v>
      </c>
    </row>
    <row r="116" spans="1:9" x14ac:dyDescent="0.3">
      <c r="A116" s="22" t="str">
        <v>EMP114</v>
      </c>
      <c r="B116" s="22" t="str">
        <v>Naveen Selvam</v>
      </c>
      <c r="C116" s="22" t="str">
        <f>_xlfn.XLOOKUP('MONTHLY ATTENDANCE SUMMARY'!A116,'EMPLOYEE MASTER DATA'!A117:A416,'EMPLOYEE MASTER DATA'!D117:D416)</f>
        <v>Back End</v>
      </c>
      <c r="D116" s="22">
        <v>19</v>
      </c>
      <c r="E116" s="22">
        <f t="shared" si="3"/>
        <v>3</v>
      </c>
      <c r="F116" s="22">
        <v>2</v>
      </c>
      <c r="G116" s="22">
        <v>4</v>
      </c>
      <c r="H116" s="23">
        <f t="shared" si="4"/>
        <v>6.729166666666667</v>
      </c>
      <c r="I116" s="24">
        <f t="shared" si="5"/>
        <v>0.79166666666666663</v>
      </c>
    </row>
    <row r="117" spans="1:9" x14ac:dyDescent="0.3">
      <c r="A117" s="22" t="str">
        <v>EMP115</v>
      </c>
      <c r="B117" s="22" t="str">
        <v>Vijay Raj</v>
      </c>
      <c r="C117" s="22" t="str">
        <f>_xlfn.XLOOKUP('MONTHLY ATTENDANCE SUMMARY'!A117,'EMPLOYEE MASTER DATA'!A118:A417,'EMPLOYEE MASTER DATA'!D118:D417)</f>
        <v>HR</v>
      </c>
      <c r="D117" s="22">
        <v>21</v>
      </c>
      <c r="E117" s="22">
        <f t="shared" si="3"/>
        <v>2</v>
      </c>
      <c r="F117" s="22">
        <v>1</v>
      </c>
      <c r="G117" s="22">
        <v>4</v>
      </c>
      <c r="H117" s="23">
        <f t="shared" si="4"/>
        <v>7.4375</v>
      </c>
      <c r="I117" s="24">
        <f t="shared" si="5"/>
        <v>0.875</v>
      </c>
    </row>
    <row r="118" spans="1:9" x14ac:dyDescent="0.3">
      <c r="A118" s="22" t="str">
        <v>EMP116</v>
      </c>
      <c r="B118" s="22" t="str">
        <v>Suresh Raja</v>
      </c>
      <c r="C118" s="22" t="str">
        <f>_xlfn.XLOOKUP('MONTHLY ATTENDANCE SUMMARY'!A118,'EMPLOYEE MASTER DATA'!A119:A418,'EMPLOYEE MASTER DATA'!D119:D418)</f>
        <v>HR</v>
      </c>
      <c r="D118" s="22">
        <v>21</v>
      </c>
      <c r="E118" s="22">
        <f t="shared" si="3"/>
        <v>1</v>
      </c>
      <c r="F118" s="22">
        <v>2</v>
      </c>
      <c r="G118" s="22">
        <v>4</v>
      </c>
      <c r="H118" s="23">
        <f t="shared" si="4"/>
        <v>7.4375</v>
      </c>
      <c r="I118" s="24">
        <f t="shared" si="5"/>
        <v>0.875</v>
      </c>
    </row>
    <row r="119" spans="1:9" x14ac:dyDescent="0.3">
      <c r="A119" s="22" t="str">
        <v>EMP117</v>
      </c>
      <c r="B119" s="22" t="str">
        <v>Kishore S</v>
      </c>
      <c r="C119" s="22" t="str">
        <f>_xlfn.XLOOKUP('MONTHLY ATTENDANCE SUMMARY'!A119,'EMPLOYEE MASTER DATA'!A120:A419,'EMPLOYEE MASTER DATA'!D120:D419)</f>
        <v>Business Development</v>
      </c>
      <c r="D119" s="22">
        <v>21</v>
      </c>
      <c r="E119" s="22">
        <f t="shared" si="3"/>
        <v>2</v>
      </c>
      <c r="F119" s="22">
        <v>1</v>
      </c>
      <c r="G119" s="22">
        <v>4</v>
      </c>
      <c r="H119" s="23">
        <f t="shared" si="4"/>
        <v>7.4375</v>
      </c>
      <c r="I119" s="24">
        <f t="shared" si="5"/>
        <v>0.875</v>
      </c>
    </row>
    <row r="120" spans="1:9" x14ac:dyDescent="0.3">
      <c r="A120" s="22" t="str">
        <v>EMP118</v>
      </c>
      <c r="B120" s="22" t="str">
        <v>Prakash Raj</v>
      </c>
      <c r="C120" s="22" t="str">
        <f>_xlfn.XLOOKUP('MONTHLY ATTENDANCE SUMMARY'!A120,'EMPLOYEE MASTER DATA'!A121:A420,'EMPLOYEE MASTER DATA'!D121:D420)</f>
        <v>Accounts</v>
      </c>
      <c r="D120" s="22">
        <v>21</v>
      </c>
      <c r="E120" s="22">
        <f t="shared" si="3"/>
        <v>2</v>
      </c>
      <c r="F120" s="22">
        <v>1</v>
      </c>
      <c r="G120" s="22">
        <v>4</v>
      </c>
      <c r="H120" s="23">
        <f t="shared" si="4"/>
        <v>7.4375</v>
      </c>
      <c r="I120" s="24">
        <f t="shared" si="5"/>
        <v>0.875</v>
      </c>
    </row>
    <row r="121" spans="1:9" x14ac:dyDescent="0.3">
      <c r="A121" s="22" t="str">
        <v>EMP119</v>
      </c>
      <c r="B121" s="22" t="str">
        <v>Saravanan Prasad</v>
      </c>
      <c r="C121" s="22" t="str">
        <f>_xlfn.XLOOKUP('MONTHLY ATTENDANCE SUMMARY'!A121,'EMPLOYEE MASTER DATA'!A122:A421,'EMPLOYEE MASTER DATA'!D122:D421)</f>
        <v>Customer Relationship</v>
      </c>
      <c r="D121" s="22">
        <v>20</v>
      </c>
      <c r="E121" s="22">
        <f t="shared" si="3"/>
        <v>2</v>
      </c>
      <c r="F121" s="22">
        <v>2</v>
      </c>
      <c r="G121" s="22">
        <v>4</v>
      </c>
      <c r="H121" s="23">
        <f t="shared" si="4"/>
        <v>7.0833333333333339</v>
      </c>
      <c r="I121" s="24">
        <f t="shared" si="5"/>
        <v>0.83333333333333337</v>
      </c>
    </row>
    <row r="122" spans="1:9" x14ac:dyDescent="0.3">
      <c r="A122" s="22" t="str">
        <v>EMP120</v>
      </c>
      <c r="B122" s="22" t="str">
        <v>Vignesh Prasad</v>
      </c>
      <c r="C122" s="22" t="str">
        <f>_xlfn.XLOOKUP('MONTHLY ATTENDANCE SUMMARY'!A122,'EMPLOYEE MASTER DATA'!A123:A422,'EMPLOYEE MASTER DATA'!D123:D422)</f>
        <v>Back End</v>
      </c>
      <c r="D122" s="22">
        <v>18</v>
      </c>
      <c r="E122" s="22">
        <f t="shared" si="3"/>
        <v>4</v>
      </c>
      <c r="F122" s="22">
        <v>2</v>
      </c>
      <c r="G122" s="22">
        <v>4</v>
      </c>
      <c r="H122" s="23">
        <f t="shared" si="4"/>
        <v>6.375</v>
      </c>
      <c r="I122" s="24">
        <f t="shared" si="5"/>
        <v>0.75</v>
      </c>
    </row>
    <row r="123" spans="1:9" x14ac:dyDescent="0.3">
      <c r="A123" s="22" t="str">
        <v>EMP121</v>
      </c>
      <c r="B123" s="22" t="str">
        <v>Ganesh Prasad</v>
      </c>
      <c r="C123" s="22" t="str">
        <f>_xlfn.XLOOKUP('MONTHLY ATTENDANCE SUMMARY'!A123,'EMPLOYEE MASTER DATA'!A124:A423,'EMPLOYEE MASTER DATA'!D124:D423)</f>
        <v>IT</v>
      </c>
      <c r="D123" s="22">
        <v>19</v>
      </c>
      <c r="E123" s="22">
        <f t="shared" si="3"/>
        <v>3</v>
      </c>
      <c r="F123" s="22">
        <v>2</v>
      </c>
      <c r="G123" s="22">
        <v>4</v>
      </c>
      <c r="H123" s="23">
        <f t="shared" si="4"/>
        <v>6.729166666666667</v>
      </c>
      <c r="I123" s="24">
        <f t="shared" si="5"/>
        <v>0.79166666666666663</v>
      </c>
    </row>
    <row r="124" spans="1:9" x14ac:dyDescent="0.3">
      <c r="A124" s="22" t="str">
        <v>EMP122</v>
      </c>
      <c r="B124" s="22" t="str">
        <v>Praveen Raja</v>
      </c>
      <c r="C124" s="22" t="str">
        <f>_xlfn.XLOOKUP('MONTHLY ATTENDANCE SUMMARY'!A124,'EMPLOYEE MASTER DATA'!A125:A424,'EMPLOYEE MASTER DATA'!D125:D424)</f>
        <v>Front Office</v>
      </c>
      <c r="D124" s="22">
        <v>19</v>
      </c>
      <c r="E124" s="22">
        <f t="shared" si="3"/>
        <v>4</v>
      </c>
      <c r="F124" s="22">
        <v>1</v>
      </c>
      <c r="G124" s="22">
        <v>4</v>
      </c>
      <c r="H124" s="23">
        <f t="shared" si="4"/>
        <v>6.729166666666667</v>
      </c>
      <c r="I124" s="24">
        <f t="shared" si="5"/>
        <v>0.79166666666666663</v>
      </c>
    </row>
    <row r="125" spans="1:9" x14ac:dyDescent="0.3">
      <c r="A125" s="22" t="str">
        <v>EMP123</v>
      </c>
      <c r="B125" s="22" t="str">
        <v>Kishore R</v>
      </c>
      <c r="C125" s="22" t="str">
        <f>_xlfn.XLOOKUP('MONTHLY ATTENDANCE SUMMARY'!A125,'EMPLOYEE MASTER DATA'!A126:A425,'EMPLOYEE MASTER DATA'!D126:D425)</f>
        <v>Front Office</v>
      </c>
      <c r="D125" s="22">
        <v>20</v>
      </c>
      <c r="E125" s="22">
        <f t="shared" si="3"/>
        <v>2</v>
      </c>
      <c r="F125" s="22">
        <v>2</v>
      </c>
      <c r="G125" s="22">
        <v>4</v>
      </c>
      <c r="H125" s="23">
        <f t="shared" si="4"/>
        <v>7.0833333333333339</v>
      </c>
      <c r="I125" s="24">
        <f t="shared" si="5"/>
        <v>0.83333333333333337</v>
      </c>
    </row>
    <row r="126" spans="1:9" x14ac:dyDescent="0.3">
      <c r="A126" s="22" t="str">
        <v>EMP124</v>
      </c>
      <c r="B126" s="22" t="str">
        <v>Vinoth B</v>
      </c>
      <c r="C126" s="22" t="str">
        <f>_xlfn.XLOOKUP('MONTHLY ATTENDANCE SUMMARY'!A126,'EMPLOYEE MASTER DATA'!A127:A426,'EMPLOYEE MASTER DATA'!D127:D426)</f>
        <v>Back End</v>
      </c>
      <c r="D126" s="22">
        <v>22</v>
      </c>
      <c r="E126" s="22">
        <f t="shared" si="3"/>
        <v>0</v>
      </c>
      <c r="F126" s="22">
        <v>2</v>
      </c>
      <c r="G126" s="22">
        <v>4</v>
      </c>
      <c r="H126" s="23">
        <f t="shared" si="4"/>
        <v>7.791666666666667</v>
      </c>
      <c r="I126" s="24">
        <f t="shared" si="5"/>
        <v>0.91666666666666663</v>
      </c>
    </row>
    <row r="127" spans="1:9" x14ac:dyDescent="0.3">
      <c r="A127" s="22" t="str">
        <v>EMP125</v>
      </c>
      <c r="B127" s="22" t="str">
        <v>Karthik Prasad</v>
      </c>
      <c r="C127" s="22" t="str">
        <f>_xlfn.XLOOKUP('MONTHLY ATTENDANCE SUMMARY'!A127,'EMPLOYEE MASTER DATA'!A128:A427,'EMPLOYEE MASTER DATA'!D128:D427)</f>
        <v>HR</v>
      </c>
      <c r="D127" s="22">
        <v>21</v>
      </c>
      <c r="E127" s="22">
        <f t="shared" si="3"/>
        <v>2</v>
      </c>
      <c r="F127" s="22">
        <v>1</v>
      </c>
      <c r="G127" s="22">
        <v>4</v>
      </c>
      <c r="H127" s="23">
        <f t="shared" si="4"/>
        <v>7.4375</v>
      </c>
      <c r="I127" s="24">
        <f t="shared" si="5"/>
        <v>0.875</v>
      </c>
    </row>
    <row r="128" spans="1:9" x14ac:dyDescent="0.3">
      <c r="A128" s="22" t="str">
        <v>EMP126</v>
      </c>
      <c r="B128" s="22" t="str">
        <v>Saravanan B</v>
      </c>
      <c r="C128" s="22" t="str">
        <f>_xlfn.XLOOKUP('MONTHLY ATTENDANCE SUMMARY'!A128,'EMPLOYEE MASTER DATA'!A129:A428,'EMPLOYEE MASTER DATA'!D129:D428)</f>
        <v>Procurement</v>
      </c>
      <c r="D128" s="22">
        <v>21</v>
      </c>
      <c r="E128" s="22">
        <f t="shared" si="3"/>
        <v>1</v>
      </c>
      <c r="F128" s="22">
        <v>2</v>
      </c>
      <c r="G128" s="22">
        <v>4</v>
      </c>
      <c r="H128" s="23">
        <f t="shared" si="4"/>
        <v>7.4375</v>
      </c>
      <c r="I128" s="24">
        <f t="shared" si="5"/>
        <v>0.875</v>
      </c>
    </row>
    <row r="129" spans="1:9" x14ac:dyDescent="0.3">
      <c r="A129" s="22" t="str">
        <v>EMP127</v>
      </c>
      <c r="B129" s="22" t="str">
        <v>Dinesh Krishnan</v>
      </c>
      <c r="C129" s="22" t="str">
        <f>_xlfn.XLOOKUP('MONTHLY ATTENDANCE SUMMARY'!A129,'EMPLOYEE MASTER DATA'!A130:A429,'EMPLOYEE MASTER DATA'!D130:D429)</f>
        <v>Accounts</v>
      </c>
      <c r="D129" s="22">
        <v>22</v>
      </c>
      <c r="E129" s="22">
        <f t="shared" si="3"/>
        <v>0</v>
      </c>
      <c r="F129" s="22">
        <v>2</v>
      </c>
      <c r="G129" s="22">
        <v>4</v>
      </c>
      <c r="H129" s="23">
        <f t="shared" si="4"/>
        <v>7.791666666666667</v>
      </c>
      <c r="I129" s="24">
        <f t="shared" si="5"/>
        <v>0.91666666666666663</v>
      </c>
    </row>
    <row r="130" spans="1:9" x14ac:dyDescent="0.3">
      <c r="A130" s="22" t="str">
        <v>EMP128</v>
      </c>
      <c r="B130" s="22" t="str">
        <v>Arun Krishnan</v>
      </c>
      <c r="C130" s="22" t="str">
        <f>_xlfn.XLOOKUP('MONTHLY ATTENDANCE SUMMARY'!A130,'EMPLOYEE MASTER DATA'!A131:A430,'EMPLOYEE MASTER DATA'!D131:D430)</f>
        <v>Customer Relationship</v>
      </c>
      <c r="D130" s="22">
        <v>20</v>
      </c>
      <c r="E130" s="22">
        <f t="shared" si="3"/>
        <v>2</v>
      </c>
      <c r="F130" s="22">
        <v>2</v>
      </c>
      <c r="G130" s="22">
        <v>4</v>
      </c>
      <c r="H130" s="23">
        <f t="shared" si="4"/>
        <v>7.0833333333333339</v>
      </c>
      <c r="I130" s="24">
        <f t="shared" si="5"/>
        <v>0.83333333333333337</v>
      </c>
    </row>
    <row r="131" spans="1:9" x14ac:dyDescent="0.3">
      <c r="A131" s="22" t="str">
        <v>EMP129</v>
      </c>
      <c r="B131" s="22" t="str">
        <v>Dinesh Selvam</v>
      </c>
      <c r="C131" s="22" t="str">
        <f>_xlfn.XLOOKUP('MONTHLY ATTENDANCE SUMMARY'!A131,'EMPLOYEE MASTER DATA'!A132:A431,'EMPLOYEE MASTER DATA'!D132:D431)</f>
        <v>Accounts</v>
      </c>
      <c r="D131" s="22">
        <v>19</v>
      </c>
      <c r="E131" s="22">
        <f t="shared" ref="E131:E194" si="6">MAX(0,24-(D131+F131))</f>
        <v>4</v>
      </c>
      <c r="F131" s="22">
        <v>1</v>
      </c>
      <c r="G131" s="22">
        <v>4</v>
      </c>
      <c r="H131" s="23">
        <f t="shared" ref="H131:H194" si="7">D131*TIME(8,30,0)</f>
        <v>6.729166666666667</v>
      </c>
      <c r="I131" s="24">
        <f t="shared" ref="I131:I194" si="8">IF(D131+E131+F131=0,0,D131/(D131+E131+F131))</f>
        <v>0.79166666666666663</v>
      </c>
    </row>
    <row r="132" spans="1:9" x14ac:dyDescent="0.3">
      <c r="A132" s="22" t="str">
        <v>EMP130</v>
      </c>
      <c r="B132" s="22" t="str">
        <v>Sanjay Babu</v>
      </c>
      <c r="C132" s="22" t="str">
        <f>_xlfn.XLOOKUP('MONTHLY ATTENDANCE SUMMARY'!A132,'EMPLOYEE MASTER DATA'!A133:A432,'EMPLOYEE MASTER DATA'!D133:D432)</f>
        <v>Maintenance</v>
      </c>
      <c r="D132" s="22">
        <v>21</v>
      </c>
      <c r="E132" s="22">
        <f t="shared" si="6"/>
        <v>1</v>
      </c>
      <c r="F132" s="22">
        <v>2</v>
      </c>
      <c r="G132" s="22">
        <v>4</v>
      </c>
      <c r="H132" s="23">
        <f t="shared" si="7"/>
        <v>7.4375</v>
      </c>
      <c r="I132" s="24">
        <f t="shared" si="8"/>
        <v>0.875</v>
      </c>
    </row>
    <row r="133" spans="1:9" x14ac:dyDescent="0.3">
      <c r="A133" s="22" t="str">
        <v>EMP131</v>
      </c>
      <c r="B133" s="22" t="str">
        <v>Yuvaraj B</v>
      </c>
      <c r="C133" s="22" t="str">
        <f>_xlfn.XLOOKUP('MONTHLY ATTENDANCE SUMMARY'!A133,'EMPLOYEE MASTER DATA'!A134:A433,'EMPLOYEE MASTER DATA'!D134:D433)</f>
        <v>Sales</v>
      </c>
      <c r="D133" s="22">
        <v>22</v>
      </c>
      <c r="E133" s="22">
        <f t="shared" si="6"/>
        <v>1</v>
      </c>
      <c r="F133" s="22">
        <v>1</v>
      </c>
      <c r="G133" s="22">
        <v>4</v>
      </c>
      <c r="H133" s="23">
        <f t="shared" si="7"/>
        <v>7.791666666666667</v>
      </c>
      <c r="I133" s="24">
        <f t="shared" si="8"/>
        <v>0.91666666666666663</v>
      </c>
    </row>
    <row r="134" spans="1:9" x14ac:dyDescent="0.3">
      <c r="A134" s="22" t="str">
        <v>EMP132</v>
      </c>
      <c r="B134" s="22" t="str">
        <v>Ganesh Raj</v>
      </c>
      <c r="C134" s="22" t="str">
        <f>_xlfn.XLOOKUP('MONTHLY ATTENDANCE SUMMARY'!A134,'EMPLOYEE MASTER DATA'!A135:A434,'EMPLOYEE MASTER DATA'!D135:D434)</f>
        <v>Business Development</v>
      </c>
      <c r="D134" s="22">
        <v>19</v>
      </c>
      <c r="E134" s="22">
        <f t="shared" si="6"/>
        <v>3</v>
      </c>
      <c r="F134" s="22">
        <v>2</v>
      </c>
      <c r="G134" s="22">
        <v>4</v>
      </c>
      <c r="H134" s="23">
        <f t="shared" si="7"/>
        <v>6.729166666666667</v>
      </c>
      <c r="I134" s="24">
        <f t="shared" si="8"/>
        <v>0.79166666666666663</v>
      </c>
    </row>
    <row r="135" spans="1:9" x14ac:dyDescent="0.3">
      <c r="A135" s="22" t="str">
        <v>EMP133</v>
      </c>
      <c r="B135" s="22" t="str">
        <v>Madhan Prasad</v>
      </c>
      <c r="C135" s="22" t="str">
        <f>_xlfn.XLOOKUP('MONTHLY ATTENDANCE SUMMARY'!A135,'EMPLOYEE MASTER DATA'!A136:A435,'EMPLOYEE MASTER DATA'!D136:D435)</f>
        <v>Maintenance</v>
      </c>
      <c r="D135" s="22">
        <v>21</v>
      </c>
      <c r="E135" s="22">
        <f t="shared" si="6"/>
        <v>1</v>
      </c>
      <c r="F135" s="22">
        <v>2</v>
      </c>
      <c r="G135" s="22">
        <v>4</v>
      </c>
      <c r="H135" s="23">
        <f t="shared" si="7"/>
        <v>7.4375</v>
      </c>
      <c r="I135" s="24">
        <f t="shared" si="8"/>
        <v>0.875</v>
      </c>
    </row>
    <row r="136" spans="1:9" x14ac:dyDescent="0.3">
      <c r="A136" s="22" t="str">
        <v>EMP134</v>
      </c>
      <c r="B136" s="22" t="str">
        <v>Bharath Raj</v>
      </c>
      <c r="C136" s="22" t="str">
        <f>_xlfn.XLOOKUP('MONTHLY ATTENDANCE SUMMARY'!A136,'EMPLOYEE MASTER DATA'!A137:A436,'EMPLOYEE MASTER DATA'!D137:D436)</f>
        <v>Front Office</v>
      </c>
      <c r="D136" s="22">
        <v>22</v>
      </c>
      <c r="E136" s="22">
        <f t="shared" si="6"/>
        <v>1</v>
      </c>
      <c r="F136" s="22">
        <v>1</v>
      </c>
      <c r="G136" s="22">
        <v>4</v>
      </c>
      <c r="H136" s="23">
        <f t="shared" si="7"/>
        <v>7.791666666666667</v>
      </c>
      <c r="I136" s="24">
        <f t="shared" si="8"/>
        <v>0.91666666666666663</v>
      </c>
    </row>
    <row r="137" spans="1:9" x14ac:dyDescent="0.3">
      <c r="A137" s="22" t="str">
        <v>EMP135</v>
      </c>
      <c r="B137" s="22" t="str">
        <v>Manoj N</v>
      </c>
      <c r="C137" s="22" t="str">
        <f>_xlfn.XLOOKUP('MONTHLY ATTENDANCE SUMMARY'!A137,'EMPLOYEE MASTER DATA'!A138:A437,'EMPLOYEE MASTER DATA'!D138:D437)</f>
        <v>Procurement</v>
      </c>
      <c r="D137" s="22">
        <v>19</v>
      </c>
      <c r="E137" s="22">
        <f t="shared" si="6"/>
        <v>3</v>
      </c>
      <c r="F137" s="22">
        <v>2</v>
      </c>
      <c r="G137" s="22">
        <v>4</v>
      </c>
      <c r="H137" s="23">
        <f t="shared" si="7"/>
        <v>6.729166666666667</v>
      </c>
      <c r="I137" s="24">
        <f t="shared" si="8"/>
        <v>0.79166666666666663</v>
      </c>
    </row>
    <row r="138" spans="1:9" x14ac:dyDescent="0.3">
      <c r="A138" s="22" t="str">
        <v>EMP136</v>
      </c>
      <c r="B138" s="22" t="str">
        <v>Ashwin Raj</v>
      </c>
      <c r="C138" s="22" t="str">
        <f>_xlfn.XLOOKUP('MONTHLY ATTENDANCE SUMMARY'!A138,'EMPLOYEE MASTER DATA'!A139:A438,'EMPLOYEE MASTER DATA'!D139:D438)</f>
        <v>Business Development</v>
      </c>
      <c r="D138" s="22">
        <v>18</v>
      </c>
      <c r="E138" s="22">
        <f t="shared" si="6"/>
        <v>5</v>
      </c>
      <c r="F138" s="22">
        <v>1</v>
      </c>
      <c r="G138" s="22">
        <v>4</v>
      </c>
      <c r="H138" s="23">
        <f t="shared" si="7"/>
        <v>6.375</v>
      </c>
      <c r="I138" s="24">
        <f t="shared" si="8"/>
        <v>0.75</v>
      </c>
    </row>
    <row r="139" spans="1:9" x14ac:dyDescent="0.3">
      <c r="A139" s="22" t="str">
        <v>EMP137</v>
      </c>
      <c r="B139" s="22" t="str">
        <v>Vignesh Kumar</v>
      </c>
      <c r="C139" s="22" t="str">
        <f>_xlfn.XLOOKUP('MONTHLY ATTENDANCE SUMMARY'!A139,'EMPLOYEE MASTER DATA'!A140:A439,'EMPLOYEE MASTER DATA'!D140:D439)</f>
        <v>Back End</v>
      </c>
      <c r="D139" s="22">
        <v>18</v>
      </c>
      <c r="E139" s="22">
        <f t="shared" si="6"/>
        <v>4</v>
      </c>
      <c r="F139" s="22">
        <v>2</v>
      </c>
      <c r="G139" s="22">
        <v>4</v>
      </c>
      <c r="H139" s="23">
        <f t="shared" si="7"/>
        <v>6.375</v>
      </c>
      <c r="I139" s="24">
        <f t="shared" si="8"/>
        <v>0.75</v>
      </c>
    </row>
    <row r="140" spans="1:9" x14ac:dyDescent="0.3">
      <c r="A140" s="22" t="str">
        <v>EMP138</v>
      </c>
      <c r="B140" s="22" t="str">
        <v>Aravind G</v>
      </c>
      <c r="C140" s="22" t="str">
        <f>_xlfn.XLOOKUP('MONTHLY ATTENDANCE SUMMARY'!A140,'EMPLOYEE MASTER DATA'!A141:A440,'EMPLOYEE MASTER DATA'!D141:D440)</f>
        <v>Sales</v>
      </c>
      <c r="D140" s="22">
        <v>21</v>
      </c>
      <c r="E140" s="22">
        <f t="shared" si="6"/>
        <v>1</v>
      </c>
      <c r="F140" s="22">
        <v>2</v>
      </c>
      <c r="G140" s="22">
        <v>4</v>
      </c>
      <c r="H140" s="23">
        <f t="shared" si="7"/>
        <v>7.4375</v>
      </c>
      <c r="I140" s="24">
        <f t="shared" si="8"/>
        <v>0.875</v>
      </c>
    </row>
    <row r="141" spans="1:9" x14ac:dyDescent="0.3">
      <c r="A141" s="22" t="str">
        <v>EMP139</v>
      </c>
      <c r="B141" s="22" t="str">
        <v>Lokesh N</v>
      </c>
      <c r="C141" s="22" t="str">
        <f>_xlfn.XLOOKUP('MONTHLY ATTENDANCE SUMMARY'!A141,'EMPLOYEE MASTER DATA'!A142:A441,'EMPLOYEE MASTER DATA'!D142:D441)</f>
        <v>Front Office</v>
      </c>
      <c r="D141" s="22">
        <v>20</v>
      </c>
      <c r="E141" s="22">
        <f t="shared" si="6"/>
        <v>3</v>
      </c>
      <c r="F141" s="22">
        <v>1</v>
      </c>
      <c r="G141" s="22">
        <v>4</v>
      </c>
      <c r="H141" s="23">
        <f t="shared" si="7"/>
        <v>7.0833333333333339</v>
      </c>
      <c r="I141" s="24">
        <f t="shared" si="8"/>
        <v>0.83333333333333337</v>
      </c>
    </row>
    <row r="142" spans="1:9" x14ac:dyDescent="0.3">
      <c r="A142" s="22" t="str">
        <v>EMP140</v>
      </c>
      <c r="B142" s="22" t="str">
        <v>Sathish S</v>
      </c>
      <c r="C142" s="22" t="str">
        <f>_xlfn.XLOOKUP('MONTHLY ATTENDANCE SUMMARY'!A142,'EMPLOYEE MASTER DATA'!A143:A442,'EMPLOYEE MASTER DATA'!D143:D442)</f>
        <v>Business Development</v>
      </c>
      <c r="D142" s="22">
        <v>15</v>
      </c>
      <c r="E142" s="22">
        <f t="shared" si="6"/>
        <v>7</v>
      </c>
      <c r="F142" s="22">
        <v>2</v>
      </c>
      <c r="G142" s="22">
        <v>4</v>
      </c>
      <c r="H142" s="23">
        <f t="shared" si="7"/>
        <v>5.3125</v>
      </c>
      <c r="I142" s="24">
        <f t="shared" si="8"/>
        <v>0.625</v>
      </c>
    </row>
    <row r="143" spans="1:9" x14ac:dyDescent="0.3">
      <c r="A143" s="22" t="str">
        <v>EMP141</v>
      </c>
      <c r="B143" s="22" t="str">
        <v>Saravanan Raja</v>
      </c>
      <c r="C143" s="22" t="str">
        <f>_xlfn.XLOOKUP('MONTHLY ATTENDANCE SUMMARY'!A143,'EMPLOYEE MASTER DATA'!A144:A443,'EMPLOYEE MASTER DATA'!D144:D443)</f>
        <v>Front Office</v>
      </c>
      <c r="D143" s="22">
        <v>21</v>
      </c>
      <c r="E143" s="22">
        <f t="shared" si="6"/>
        <v>2</v>
      </c>
      <c r="F143" s="22">
        <v>1</v>
      </c>
      <c r="G143" s="22">
        <v>4</v>
      </c>
      <c r="H143" s="23">
        <f t="shared" si="7"/>
        <v>7.4375</v>
      </c>
      <c r="I143" s="24">
        <f t="shared" si="8"/>
        <v>0.875</v>
      </c>
    </row>
    <row r="144" spans="1:9" x14ac:dyDescent="0.3">
      <c r="A144" s="22" t="str">
        <v>EMP142</v>
      </c>
      <c r="B144" s="22" t="str">
        <v>Karthik Raj</v>
      </c>
      <c r="C144" s="22" t="str">
        <f>_xlfn.XLOOKUP('MONTHLY ATTENDANCE SUMMARY'!A144,'EMPLOYEE MASTER DATA'!A145:A444,'EMPLOYEE MASTER DATA'!D145:D444)</f>
        <v>Customer Relationship</v>
      </c>
      <c r="D144" s="22">
        <v>20</v>
      </c>
      <c r="E144" s="22">
        <f t="shared" si="6"/>
        <v>2</v>
      </c>
      <c r="F144" s="22">
        <v>2</v>
      </c>
      <c r="G144" s="22">
        <v>4</v>
      </c>
      <c r="H144" s="23">
        <f t="shared" si="7"/>
        <v>7.0833333333333339</v>
      </c>
      <c r="I144" s="24">
        <f t="shared" si="8"/>
        <v>0.83333333333333337</v>
      </c>
    </row>
    <row r="145" spans="1:9" x14ac:dyDescent="0.3">
      <c r="A145" s="22" t="str">
        <v>EMP143</v>
      </c>
      <c r="B145" s="22" t="str">
        <v>Mohan G</v>
      </c>
      <c r="C145" s="22" t="str">
        <f>_xlfn.XLOOKUP('MONTHLY ATTENDANCE SUMMARY'!A145,'EMPLOYEE MASTER DATA'!A146:A445,'EMPLOYEE MASTER DATA'!D146:D445)</f>
        <v>Business Development</v>
      </c>
      <c r="D145" s="22">
        <v>21</v>
      </c>
      <c r="E145" s="22">
        <f t="shared" si="6"/>
        <v>2</v>
      </c>
      <c r="F145" s="22">
        <v>1</v>
      </c>
      <c r="G145" s="22">
        <v>4</v>
      </c>
      <c r="H145" s="23">
        <f t="shared" si="7"/>
        <v>7.4375</v>
      </c>
      <c r="I145" s="24">
        <f t="shared" si="8"/>
        <v>0.875</v>
      </c>
    </row>
    <row r="146" spans="1:9" x14ac:dyDescent="0.3">
      <c r="A146" s="22" t="str">
        <v>EMP144</v>
      </c>
      <c r="B146" s="22" t="str">
        <v>Ramesh N</v>
      </c>
      <c r="C146" s="22" t="str">
        <f>_xlfn.XLOOKUP('MONTHLY ATTENDANCE SUMMARY'!A146,'EMPLOYEE MASTER DATA'!A147:A446,'EMPLOYEE MASTER DATA'!D147:D446)</f>
        <v>Back End</v>
      </c>
      <c r="D146" s="22">
        <v>18</v>
      </c>
      <c r="E146" s="22">
        <f t="shared" si="6"/>
        <v>5</v>
      </c>
      <c r="F146" s="22">
        <v>1</v>
      </c>
      <c r="G146" s="22">
        <v>4</v>
      </c>
      <c r="H146" s="23">
        <f t="shared" si="7"/>
        <v>6.375</v>
      </c>
      <c r="I146" s="24">
        <f t="shared" si="8"/>
        <v>0.75</v>
      </c>
    </row>
    <row r="147" spans="1:9" x14ac:dyDescent="0.3">
      <c r="A147" s="22" t="str">
        <v>EMP145</v>
      </c>
      <c r="B147" s="22" t="str">
        <v>Naveen N</v>
      </c>
      <c r="C147" s="22" t="str">
        <f>_xlfn.XLOOKUP('MONTHLY ATTENDANCE SUMMARY'!A147,'EMPLOYEE MASTER DATA'!A148:A447,'EMPLOYEE MASTER DATA'!D148:D447)</f>
        <v>Maintenance</v>
      </c>
      <c r="D147" s="22">
        <v>18</v>
      </c>
      <c r="E147" s="22">
        <f t="shared" si="6"/>
        <v>4</v>
      </c>
      <c r="F147" s="22">
        <v>2</v>
      </c>
      <c r="G147" s="22">
        <v>4</v>
      </c>
      <c r="H147" s="23">
        <f t="shared" si="7"/>
        <v>6.375</v>
      </c>
      <c r="I147" s="24">
        <f t="shared" si="8"/>
        <v>0.75</v>
      </c>
    </row>
    <row r="148" spans="1:9" x14ac:dyDescent="0.3">
      <c r="A148" s="22" t="str">
        <v>EMP146</v>
      </c>
      <c r="B148" s="22" t="str">
        <v>Dinesh Kannan</v>
      </c>
      <c r="C148" s="22" t="str">
        <f>_xlfn.XLOOKUP('MONTHLY ATTENDANCE SUMMARY'!A148,'EMPLOYEE MASTER DATA'!A149:A448,'EMPLOYEE MASTER DATA'!D149:D448)</f>
        <v>Back End</v>
      </c>
      <c r="D148" s="22">
        <v>22</v>
      </c>
      <c r="E148" s="22">
        <f t="shared" si="6"/>
        <v>0</v>
      </c>
      <c r="F148" s="22">
        <v>2</v>
      </c>
      <c r="G148" s="22">
        <v>4</v>
      </c>
      <c r="H148" s="23">
        <f t="shared" si="7"/>
        <v>7.791666666666667</v>
      </c>
      <c r="I148" s="24">
        <f t="shared" si="8"/>
        <v>0.91666666666666663</v>
      </c>
    </row>
    <row r="149" spans="1:9" x14ac:dyDescent="0.3">
      <c r="A149" s="22" t="str">
        <v>EMP147</v>
      </c>
      <c r="B149" s="22" t="str">
        <v>Vinoth Krishnan</v>
      </c>
      <c r="C149" s="22" t="str">
        <f>_xlfn.XLOOKUP('MONTHLY ATTENDANCE SUMMARY'!A149,'EMPLOYEE MASTER DATA'!A150:A449,'EMPLOYEE MASTER DATA'!D150:D449)</f>
        <v>Sales</v>
      </c>
      <c r="D149" s="22">
        <v>22</v>
      </c>
      <c r="E149" s="22">
        <f t="shared" si="6"/>
        <v>0</v>
      </c>
      <c r="F149" s="22">
        <v>2</v>
      </c>
      <c r="G149" s="22">
        <v>4</v>
      </c>
      <c r="H149" s="23">
        <f t="shared" si="7"/>
        <v>7.791666666666667</v>
      </c>
      <c r="I149" s="24">
        <f t="shared" si="8"/>
        <v>0.91666666666666663</v>
      </c>
    </row>
    <row r="150" spans="1:9" x14ac:dyDescent="0.3">
      <c r="A150" s="22" t="str">
        <v>EMP148</v>
      </c>
      <c r="B150" s="22" t="str">
        <v>Bharath Kannan</v>
      </c>
      <c r="C150" s="22" t="str">
        <f>_xlfn.XLOOKUP('MONTHLY ATTENDANCE SUMMARY'!A150,'EMPLOYEE MASTER DATA'!A151:A450,'EMPLOYEE MASTER DATA'!D151:D450)</f>
        <v>Production</v>
      </c>
      <c r="D150" s="22">
        <v>21</v>
      </c>
      <c r="E150" s="22">
        <f t="shared" si="6"/>
        <v>1</v>
      </c>
      <c r="F150" s="22">
        <v>2</v>
      </c>
      <c r="G150" s="22">
        <v>4</v>
      </c>
      <c r="H150" s="23">
        <f t="shared" si="7"/>
        <v>7.4375</v>
      </c>
      <c r="I150" s="24">
        <f t="shared" si="8"/>
        <v>0.875</v>
      </c>
    </row>
    <row r="151" spans="1:9" x14ac:dyDescent="0.3">
      <c r="A151" s="22" t="str">
        <v>EMP149</v>
      </c>
      <c r="B151" s="22" t="str">
        <v>Vinoth Narayanan</v>
      </c>
      <c r="C151" s="22" t="str">
        <f>_xlfn.XLOOKUP('MONTHLY ATTENDANCE SUMMARY'!A151,'EMPLOYEE MASTER DATA'!A152:A451,'EMPLOYEE MASTER DATA'!D152:D451)</f>
        <v>Admin</v>
      </c>
      <c r="D151" s="22">
        <v>18</v>
      </c>
      <c r="E151" s="22">
        <f t="shared" si="6"/>
        <v>4</v>
      </c>
      <c r="F151" s="22">
        <v>2</v>
      </c>
      <c r="G151" s="22">
        <v>4</v>
      </c>
      <c r="H151" s="23">
        <f t="shared" si="7"/>
        <v>6.375</v>
      </c>
      <c r="I151" s="24">
        <f t="shared" si="8"/>
        <v>0.75</v>
      </c>
    </row>
    <row r="152" spans="1:9" x14ac:dyDescent="0.3">
      <c r="A152" s="22" t="str">
        <v>EMP150</v>
      </c>
      <c r="B152" s="22" t="str">
        <v>Mohan V</v>
      </c>
      <c r="C152" s="22" t="str">
        <f>_xlfn.XLOOKUP('MONTHLY ATTENDANCE SUMMARY'!A152,'EMPLOYEE MASTER DATA'!A153:A452,'EMPLOYEE MASTER DATA'!D153:D452)</f>
        <v>Procurement</v>
      </c>
      <c r="D152" s="22">
        <v>22</v>
      </c>
      <c r="E152" s="22">
        <f t="shared" si="6"/>
        <v>1</v>
      </c>
      <c r="F152" s="22">
        <v>1</v>
      </c>
      <c r="G152" s="22">
        <v>4</v>
      </c>
      <c r="H152" s="23">
        <f t="shared" si="7"/>
        <v>7.791666666666667</v>
      </c>
      <c r="I152" s="24">
        <f t="shared" si="8"/>
        <v>0.91666666666666663</v>
      </c>
    </row>
    <row r="153" spans="1:9" x14ac:dyDescent="0.3">
      <c r="A153" s="22" t="str">
        <v>EMP151</v>
      </c>
      <c r="B153" s="22" t="str">
        <v>Rahul R</v>
      </c>
      <c r="C153" s="22" t="str">
        <f>_xlfn.XLOOKUP('MONTHLY ATTENDANCE SUMMARY'!A153,'EMPLOYEE MASTER DATA'!A154:A453,'EMPLOYEE MASTER DATA'!D154:D453)</f>
        <v>Procurement</v>
      </c>
      <c r="D153" s="22">
        <v>22</v>
      </c>
      <c r="E153" s="22">
        <f t="shared" si="6"/>
        <v>0</v>
      </c>
      <c r="F153" s="22">
        <v>2</v>
      </c>
      <c r="G153" s="22">
        <v>4</v>
      </c>
      <c r="H153" s="23">
        <f t="shared" si="7"/>
        <v>7.791666666666667</v>
      </c>
      <c r="I153" s="24">
        <f t="shared" si="8"/>
        <v>0.91666666666666663</v>
      </c>
    </row>
    <row r="154" spans="1:9" x14ac:dyDescent="0.3">
      <c r="A154" s="22" t="str">
        <v>EMP152</v>
      </c>
      <c r="B154" s="22" t="str">
        <v>Harish R</v>
      </c>
      <c r="C154" s="22" t="str">
        <f>_xlfn.XLOOKUP('MONTHLY ATTENDANCE SUMMARY'!A154,'EMPLOYEE MASTER DATA'!A155:A454,'EMPLOYEE MASTER DATA'!D155:D454)</f>
        <v>Production</v>
      </c>
      <c r="D154" s="22">
        <v>21</v>
      </c>
      <c r="E154" s="22">
        <f t="shared" si="6"/>
        <v>1</v>
      </c>
      <c r="F154" s="22">
        <v>2</v>
      </c>
      <c r="G154" s="22">
        <v>4</v>
      </c>
      <c r="H154" s="23">
        <f t="shared" si="7"/>
        <v>7.4375</v>
      </c>
      <c r="I154" s="24">
        <f t="shared" si="8"/>
        <v>0.875</v>
      </c>
    </row>
    <row r="155" spans="1:9" x14ac:dyDescent="0.3">
      <c r="A155" s="22" t="str">
        <v>EMP153</v>
      </c>
      <c r="B155" s="22" t="str">
        <v>Ganesh M</v>
      </c>
      <c r="C155" s="22" t="str">
        <f>_xlfn.XLOOKUP('MONTHLY ATTENDANCE SUMMARY'!A155,'EMPLOYEE MASTER DATA'!A156:A455,'EMPLOYEE MASTER DATA'!D156:D455)</f>
        <v>Sales</v>
      </c>
      <c r="D155" s="22">
        <v>21</v>
      </c>
      <c r="E155" s="22">
        <f t="shared" si="6"/>
        <v>2</v>
      </c>
      <c r="F155" s="22">
        <v>1</v>
      </c>
      <c r="G155" s="22">
        <v>4</v>
      </c>
      <c r="H155" s="23">
        <f t="shared" si="7"/>
        <v>7.4375</v>
      </c>
      <c r="I155" s="24">
        <f t="shared" si="8"/>
        <v>0.875</v>
      </c>
    </row>
    <row r="156" spans="1:9" x14ac:dyDescent="0.3">
      <c r="A156" s="22" t="str">
        <v>EMP154</v>
      </c>
      <c r="B156" s="22" t="str">
        <v>Yuvaraj Raj</v>
      </c>
      <c r="C156" s="22" t="str">
        <f>_xlfn.XLOOKUP('MONTHLY ATTENDANCE SUMMARY'!A156,'EMPLOYEE MASTER DATA'!A157:A456,'EMPLOYEE MASTER DATA'!D157:D456)</f>
        <v>Maintenance</v>
      </c>
      <c r="D156" s="22">
        <v>20</v>
      </c>
      <c r="E156" s="22">
        <f t="shared" si="6"/>
        <v>2</v>
      </c>
      <c r="F156" s="22">
        <v>2</v>
      </c>
      <c r="G156" s="22">
        <v>4</v>
      </c>
      <c r="H156" s="23">
        <f t="shared" si="7"/>
        <v>7.0833333333333339</v>
      </c>
      <c r="I156" s="24">
        <f t="shared" si="8"/>
        <v>0.83333333333333337</v>
      </c>
    </row>
    <row r="157" spans="1:9" x14ac:dyDescent="0.3">
      <c r="A157" s="22" t="str">
        <v>EMP155</v>
      </c>
      <c r="B157" s="22" t="str">
        <v>Vinoth Selvam</v>
      </c>
      <c r="C157" s="22" t="str">
        <f>_xlfn.XLOOKUP('MONTHLY ATTENDANCE SUMMARY'!A157,'EMPLOYEE MASTER DATA'!A158:A457,'EMPLOYEE MASTER DATA'!D158:D457)</f>
        <v>Customer Relationship</v>
      </c>
      <c r="D157" s="22">
        <v>19</v>
      </c>
      <c r="E157" s="22">
        <f t="shared" si="6"/>
        <v>4</v>
      </c>
      <c r="F157" s="22">
        <v>1</v>
      </c>
      <c r="G157" s="22">
        <v>4</v>
      </c>
      <c r="H157" s="23">
        <f t="shared" si="7"/>
        <v>6.729166666666667</v>
      </c>
      <c r="I157" s="24">
        <f t="shared" si="8"/>
        <v>0.79166666666666663</v>
      </c>
    </row>
    <row r="158" spans="1:9" x14ac:dyDescent="0.3">
      <c r="A158" s="22" t="str">
        <v>EMP156</v>
      </c>
      <c r="B158" s="22" t="str">
        <v>Naveen M</v>
      </c>
      <c r="C158" s="22" t="str">
        <f>_xlfn.XLOOKUP('MONTHLY ATTENDANCE SUMMARY'!A158,'EMPLOYEE MASTER DATA'!A159:A458,'EMPLOYEE MASTER DATA'!D159:D458)</f>
        <v>HR</v>
      </c>
      <c r="D158" s="22">
        <v>20</v>
      </c>
      <c r="E158" s="22">
        <f t="shared" si="6"/>
        <v>3</v>
      </c>
      <c r="F158" s="22">
        <v>1</v>
      </c>
      <c r="G158" s="22">
        <v>4</v>
      </c>
      <c r="H158" s="23">
        <f t="shared" si="7"/>
        <v>7.0833333333333339</v>
      </c>
      <c r="I158" s="24">
        <f t="shared" si="8"/>
        <v>0.83333333333333337</v>
      </c>
    </row>
    <row r="159" spans="1:9" x14ac:dyDescent="0.3">
      <c r="A159" s="22" t="str">
        <v>EMP157</v>
      </c>
      <c r="B159" s="22" t="str">
        <v>Yogesh S</v>
      </c>
      <c r="C159" s="22" t="str">
        <f>_xlfn.XLOOKUP('MONTHLY ATTENDANCE SUMMARY'!A159,'EMPLOYEE MASTER DATA'!A160:A459,'EMPLOYEE MASTER DATA'!D160:D459)</f>
        <v>Accounts</v>
      </c>
      <c r="D159" s="22">
        <v>22</v>
      </c>
      <c r="E159" s="22">
        <f t="shared" si="6"/>
        <v>0</v>
      </c>
      <c r="F159" s="22">
        <v>2</v>
      </c>
      <c r="G159" s="22">
        <v>4</v>
      </c>
      <c r="H159" s="23">
        <f t="shared" si="7"/>
        <v>7.791666666666667</v>
      </c>
      <c r="I159" s="24">
        <f t="shared" si="8"/>
        <v>0.91666666666666663</v>
      </c>
    </row>
    <row r="160" spans="1:9" x14ac:dyDescent="0.3">
      <c r="A160" s="22" t="str">
        <v>EMP158</v>
      </c>
      <c r="B160" s="22" t="str">
        <v>Karthik P</v>
      </c>
      <c r="C160" s="22" t="str">
        <f>_xlfn.XLOOKUP('MONTHLY ATTENDANCE SUMMARY'!A160,'EMPLOYEE MASTER DATA'!A161:A460,'EMPLOYEE MASTER DATA'!D161:D460)</f>
        <v>Accounts</v>
      </c>
      <c r="D160" s="22">
        <v>18</v>
      </c>
      <c r="E160" s="22">
        <f t="shared" si="6"/>
        <v>4</v>
      </c>
      <c r="F160" s="22">
        <v>2</v>
      </c>
      <c r="G160" s="22">
        <v>4</v>
      </c>
      <c r="H160" s="23">
        <f t="shared" si="7"/>
        <v>6.375</v>
      </c>
      <c r="I160" s="24">
        <f t="shared" si="8"/>
        <v>0.75</v>
      </c>
    </row>
    <row r="161" spans="1:9" x14ac:dyDescent="0.3">
      <c r="A161" s="22" t="str">
        <v>EMP159</v>
      </c>
      <c r="B161" s="22" t="str">
        <v>Yuvaraj T</v>
      </c>
      <c r="C161" s="22" t="str">
        <f>_xlfn.XLOOKUP('MONTHLY ATTENDANCE SUMMARY'!A161,'EMPLOYEE MASTER DATA'!A162:A461,'EMPLOYEE MASTER DATA'!D162:D461)</f>
        <v>Production</v>
      </c>
      <c r="D161" s="22">
        <v>18</v>
      </c>
      <c r="E161" s="22">
        <f t="shared" si="6"/>
        <v>5</v>
      </c>
      <c r="F161" s="22">
        <v>1</v>
      </c>
      <c r="G161" s="22">
        <v>4</v>
      </c>
      <c r="H161" s="23">
        <f t="shared" si="7"/>
        <v>6.375</v>
      </c>
      <c r="I161" s="24">
        <f t="shared" si="8"/>
        <v>0.75</v>
      </c>
    </row>
    <row r="162" spans="1:9" x14ac:dyDescent="0.3">
      <c r="A162" s="22" t="str">
        <v>EMP160</v>
      </c>
      <c r="B162" s="22" t="str">
        <v>Rahul B</v>
      </c>
      <c r="C162" s="22" t="str">
        <f>_xlfn.XLOOKUP('MONTHLY ATTENDANCE SUMMARY'!A162,'EMPLOYEE MASTER DATA'!A163:A462,'EMPLOYEE MASTER DATA'!D163:D462)</f>
        <v>Production</v>
      </c>
      <c r="D162" s="22">
        <v>19</v>
      </c>
      <c r="E162" s="22">
        <f t="shared" si="6"/>
        <v>4</v>
      </c>
      <c r="F162" s="22">
        <v>1</v>
      </c>
      <c r="G162" s="22">
        <v>4</v>
      </c>
      <c r="H162" s="23">
        <f t="shared" si="7"/>
        <v>6.729166666666667</v>
      </c>
      <c r="I162" s="24">
        <f t="shared" si="8"/>
        <v>0.79166666666666663</v>
      </c>
    </row>
    <row r="163" spans="1:9" x14ac:dyDescent="0.3">
      <c r="A163" s="22" t="str">
        <v>EMP161</v>
      </c>
      <c r="B163" s="22" t="str">
        <v>Deepak G</v>
      </c>
      <c r="C163" s="22" t="str">
        <f>_xlfn.XLOOKUP('MONTHLY ATTENDANCE SUMMARY'!A163,'EMPLOYEE MASTER DATA'!A164:A463,'EMPLOYEE MASTER DATA'!D164:D463)</f>
        <v>Sales</v>
      </c>
      <c r="D163" s="22">
        <v>22</v>
      </c>
      <c r="E163" s="22">
        <f t="shared" si="6"/>
        <v>0</v>
      </c>
      <c r="F163" s="22">
        <v>2</v>
      </c>
      <c r="G163" s="22">
        <v>4</v>
      </c>
      <c r="H163" s="23">
        <f t="shared" si="7"/>
        <v>7.791666666666667</v>
      </c>
      <c r="I163" s="24">
        <f t="shared" si="8"/>
        <v>0.91666666666666663</v>
      </c>
    </row>
    <row r="164" spans="1:9" x14ac:dyDescent="0.3">
      <c r="A164" s="22" t="str">
        <v>EMP162</v>
      </c>
      <c r="B164" s="22" t="str">
        <v>Ramesh G</v>
      </c>
      <c r="C164" s="22" t="str">
        <f>_xlfn.XLOOKUP('MONTHLY ATTENDANCE SUMMARY'!A164,'EMPLOYEE MASTER DATA'!A165:A464,'EMPLOYEE MASTER DATA'!D165:D464)</f>
        <v>Accounts</v>
      </c>
      <c r="D164" s="22">
        <v>19</v>
      </c>
      <c r="E164" s="22">
        <f t="shared" si="6"/>
        <v>3</v>
      </c>
      <c r="F164" s="22">
        <v>2</v>
      </c>
      <c r="G164" s="22">
        <v>4</v>
      </c>
      <c r="H164" s="23">
        <f t="shared" si="7"/>
        <v>6.729166666666667</v>
      </c>
      <c r="I164" s="24">
        <f t="shared" si="8"/>
        <v>0.79166666666666663</v>
      </c>
    </row>
    <row r="165" spans="1:9" x14ac:dyDescent="0.3">
      <c r="A165" s="22" t="str">
        <v>EMP163</v>
      </c>
      <c r="B165" s="22" t="str">
        <v>Praveen Kannan</v>
      </c>
      <c r="C165" s="22" t="str">
        <f>_xlfn.XLOOKUP('MONTHLY ATTENDANCE SUMMARY'!A165,'EMPLOYEE MASTER DATA'!A166:A465,'EMPLOYEE MASTER DATA'!D166:D465)</f>
        <v>Customer Relationship</v>
      </c>
      <c r="D165" s="22">
        <v>19</v>
      </c>
      <c r="E165" s="22">
        <f t="shared" si="6"/>
        <v>3</v>
      </c>
      <c r="F165" s="22">
        <v>2</v>
      </c>
      <c r="G165" s="22">
        <v>4</v>
      </c>
      <c r="H165" s="23">
        <f t="shared" si="7"/>
        <v>6.729166666666667</v>
      </c>
      <c r="I165" s="24">
        <f t="shared" si="8"/>
        <v>0.79166666666666663</v>
      </c>
    </row>
    <row r="166" spans="1:9" x14ac:dyDescent="0.3">
      <c r="A166" s="22" t="str">
        <v>EMP164</v>
      </c>
      <c r="B166" s="22" t="str">
        <v>Yogesh T</v>
      </c>
      <c r="C166" s="22" t="str">
        <f>_xlfn.XLOOKUP('MONTHLY ATTENDANCE SUMMARY'!A166,'EMPLOYEE MASTER DATA'!A167:A466,'EMPLOYEE MASTER DATA'!D167:D466)</f>
        <v>IT</v>
      </c>
      <c r="D166" s="22">
        <v>18</v>
      </c>
      <c r="E166" s="22">
        <f t="shared" si="6"/>
        <v>4</v>
      </c>
      <c r="F166" s="22">
        <v>2</v>
      </c>
      <c r="G166" s="22">
        <v>4</v>
      </c>
      <c r="H166" s="23">
        <f t="shared" si="7"/>
        <v>6.375</v>
      </c>
      <c r="I166" s="24">
        <f t="shared" si="8"/>
        <v>0.75</v>
      </c>
    </row>
    <row r="167" spans="1:9" x14ac:dyDescent="0.3">
      <c r="A167" s="22" t="str">
        <v>EMP165</v>
      </c>
      <c r="B167" s="22" t="str">
        <v>Sanjay Selvam</v>
      </c>
      <c r="C167" s="22" t="str">
        <f>_xlfn.XLOOKUP('MONTHLY ATTENDANCE SUMMARY'!A167,'EMPLOYEE MASTER DATA'!A168:A467,'EMPLOYEE MASTER DATA'!D168:D467)</f>
        <v>Production</v>
      </c>
      <c r="D167" s="22">
        <v>21</v>
      </c>
      <c r="E167" s="22">
        <f t="shared" si="6"/>
        <v>1</v>
      </c>
      <c r="F167" s="22">
        <v>2</v>
      </c>
      <c r="G167" s="22">
        <v>4</v>
      </c>
      <c r="H167" s="23">
        <f t="shared" si="7"/>
        <v>7.4375</v>
      </c>
      <c r="I167" s="24">
        <f t="shared" si="8"/>
        <v>0.875</v>
      </c>
    </row>
    <row r="168" spans="1:9" x14ac:dyDescent="0.3">
      <c r="A168" s="22" t="str">
        <v>EMP166</v>
      </c>
      <c r="B168" s="22" t="str">
        <v>Dinesh B</v>
      </c>
      <c r="C168" s="22" t="str">
        <f>_xlfn.XLOOKUP('MONTHLY ATTENDANCE SUMMARY'!A168,'EMPLOYEE MASTER DATA'!A169:A468,'EMPLOYEE MASTER DATA'!D169:D468)</f>
        <v>Accounts</v>
      </c>
      <c r="D168" s="22">
        <v>19</v>
      </c>
      <c r="E168" s="22">
        <f t="shared" si="6"/>
        <v>4</v>
      </c>
      <c r="F168" s="22">
        <v>1</v>
      </c>
      <c r="G168" s="22">
        <v>4</v>
      </c>
      <c r="H168" s="23">
        <f t="shared" si="7"/>
        <v>6.729166666666667</v>
      </c>
      <c r="I168" s="24">
        <f t="shared" si="8"/>
        <v>0.79166666666666663</v>
      </c>
    </row>
    <row r="169" spans="1:9" x14ac:dyDescent="0.3">
      <c r="A169" s="22" t="str">
        <v>EMP167</v>
      </c>
      <c r="B169" s="22" t="str">
        <v>Kishore Krishnan</v>
      </c>
      <c r="C169" s="22" t="str">
        <f>_xlfn.XLOOKUP('MONTHLY ATTENDANCE SUMMARY'!A169,'EMPLOYEE MASTER DATA'!A170:A469,'EMPLOYEE MASTER DATA'!D170:D469)</f>
        <v>Business Development</v>
      </c>
      <c r="D169" s="22">
        <v>18</v>
      </c>
      <c r="E169" s="22">
        <f t="shared" si="6"/>
        <v>5</v>
      </c>
      <c r="F169" s="22">
        <v>1</v>
      </c>
      <c r="G169" s="22">
        <v>4</v>
      </c>
      <c r="H169" s="23">
        <f t="shared" si="7"/>
        <v>6.375</v>
      </c>
      <c r="I169" s="24">
        <f t="shared" si="8"/>
        <v>0.75</v>
      </c>
    </row>
    <row r="170" spans="1:9" x14ac:dyDescent="0.3">
      <c r="A170" s="22" t="str">
        <v>EMP168</v>
      </c>
      <c r="B170" s="22" t="str">
        <v>Saravanan Murugan</v>
      </c>
      <c r="C170" s="22" t="str">
        <f>_xlfn.XLOOKUP('MONTHLY ATTENDANCE SUMMARY'!A170,'EMPLOYEE MASTER DATA'!A171:A470,'EMPLOYEE MASTER DATA'!D171:D470)</f>
        <v>Production</v>
      </c>
      <c r="D170" s="22">
        <v>22</v>
      </c>
      <c r="E170" s="22">
        <f t="shared" si="6"/>
        <v>0</v>
      </c>
      <c r="F170" s="22">
        <v>2</v>
      </c>
      <c r="G170" s="22">
        <v>4</v>
      </c>
      <c r="H170" s="23">
        <f t="shared" si="7"/>
        <v>7.791666666666667</v>
      </c>
      <c r="I170" s="24">
        <f t="shared" si="8"/>
        <v>0.91666666666666663</v>
      </c>
    </row>
    <row r="171" spans="1:9" x14ac:dyDescent="0.3">
      <c r="A171" s="22" t="str">
        <v>EMP169</v>
      </c>
      <c r="B171" s="22" t="str">
        <v>Naveen S</v>
      </c>
      <c r="C171" s="22" t="str">
        <f>_xlfn.XLOOKUP('MONTHLY ATTENDANCE SUMMARY'!A171,'EMPLOYEE MASTER DATA'!A172:A471,'EMPLOYEE MASTER DATA'!D172:D471)</f>
        <v>Production</v>
      </c>
      <c r="D171" s="22">
        <v>19</v>
      </c>
      <c r="E171" s="22">
        <f t="shared" si="6"/>
        <v>4</v>
      </c>
      <c r="F171" s="22">
        <v>1</v>
      </c>
      <c r="G171" s="22">
        <v>4</v>
      </c>
      <c r="H171" s="23">
        <f t="shared" si="7"/>
        <v>6.729166666666667</v>
      </c>
      <c r="I171" s="24">
        <f t="shared" si="8"/>
        <v>0.79166666666666663</v>
      </c>
    </row>
    <row r="172" spans="1:9" x14ac:dyDescent="0.3">
      <c r="A172" s="22" t="str">
        <v>EMP170</v>
      </c>
      <c r="B172" s="22" t="str">
        <v>Praveen Babu</v>
      </c>
      <c r="C172" s="22" t="str">
        <f>_xlfn.XLOOKUP('MONTHLY ATTENDANCE SUMMARY'!A172,'EMPLOYEE MASTER DATA'!A173:A472,'EMPLOYEE MASTER DATA'!D173:D472)</f>
        <v>Production</v>
      </c>
      <c r="D172" s="22">
        <v>19</v>
      </c>
      <c r="E172" s="22">
        <f t="shared" si="6"/>
        <v>4</v>
      </c>
      <c r="F172" s="22">
        <v>1</v>
      </c>
      <c r="G172" s="22">
        <v>4</v>
      </c>
      <c r="H172" s="23">
        <f t="shared" si="7"/>
        <v>6.729166666666667</v>
      </c>
      <c r="I172" s="24">
        <f t="shared" si="8"/>
        <v>0.79166666666666663</v>
      </c>
    </row>
    <row r="173" spans="1:9" x14ac:dyDescent="0.3">
      <c r="A173" s="22" t="str">
        <v>EMP171</v>
      </c>
      <c r="B173" s="22" t="str">
        <v>Nithin K</v>
      </c>
      <c r="C173" s="22" t="str">
        <f>_xlfn.XLOOKUP('MONTHLY ATTENDANCE SUMMARY'!A173,'EMPLOYEE MASTER DATA'!A174:A473,'EMPLOYEE MASTER DATA'!D174:D473)</f>
        <v>Front Office</v>
      </c>
      <c r="D173" s="22">
        <v>18</v>
      </c>
      <c r="E173" s="22">
        <f t="shared" si="6"/>
        <v>5</v>
      </c>
      <c r="F173" s="22">
        <v>1</v>
      </c>
      <c r="G173" s="22">
        <v>4</v>
      </c>
      <c r="H173" s="23">
        <f t="shared" si="7"/>
        <v>6.375</v>
      </c>
      <c r="I173" s="24">
        <f t="shared" si="8"/>
        <v>0.75</v>
      </c>
    </row>
    <row r="174" spans="1:9" x14ac:dyDescent="0.3">
      <c r="A174" s="22" t="str">
        <v>EMP172</v>
      </c>
      <c r="B174" s="22" t="str">
        <v>Praveen G</v>
      </c>
      <c r="C174" s="22" t="str">
        <f>_xlfn.XLOOKUP('MONTHLY ATTENDANCE SUMMARY'!A174,'EMPLOYEE MASTER DATA'!A175:A474,'EMPLOYEE MASTER DATA'!D175:D474)</f>
        <v>Front Office</v>
      </c>
      <c r="D174" s="22">
        <v>20</v>
      </c>
      <c r="E174" s="22">
        <f t="shared" si="6"/>
        <v>3</v>
      </c>
      <c r="F174" s="22">
        <v>1</v>
      </c>
      <c r="G174" s="22">
        <v>4</v>
      </c>
      <c r="H174" s="23">
        <f t="shared" si="7"/>
        <v>7.0833333333333339</v>
      </c>
      <c r="I174" s="24">
        <f t="shared" si="8"/>
        <v>0.83333333333333337</v>
      </c>
    </row>
    <row r="175" spans="1:9" x14ac:dyDescent="0.3">
      <c r="A175" s="22" t="str">
        <v>EMP173</v>
      </c>
      <c r="B175" s="22" t="str">
        <v>Ajay Murugan</v>
      </c>
      <c r="C175" s="22" t="str">
        <f>_xlfn.XLOOKUP('MONTHLY ATTENDANCE SUMMARY'!A175,'EMPLOYEE MASTER DATA'!A176:A475,'EMPLOYEE MASTER DATA'!D176:D475)</f>
        <v>Admin</v>
      </c>
      <c r="D175" s="22">
        <v>18</v>
      </c>
      <c r="E175" s="22">
        <f t="shared" si="6"/>
        <v>4</v>
      </c>
      <c r="F175" s="22">
        <v>2</v>
      </c>
      <c r="G175" s="22">
        <v>4</v>
      </c>
      <c r="H175" s="23">
        <f t="shared" si="7"/>
        <v>6.375</v>
      </c>
      <c r="I175" s="24">
        <f t="shared" si="8"/>
        <v>0.75</v>
      </c>
    </row>
    <row r="176" spans="1:9" x14ac:dyDescent="0.3">
      <c r="A176" s="22" t="str">
        <v>EMP174</v>
      </c>
      <c r="B176" s="22" t="str">
        <v>Manoj Raja</v>
      </c>
      <c r="C176" s="22" t="str">
        <f>_xlfn.XLOOKUP('MONTHLY ATTENDANCE SUMMARY'!A176,'EMPLOYEE MASTER DATA'!A177:A476,'EMPLOYEE MASTER DATA'!D177:D476)</f>
        <v>HR</v>
      </c>
      <c r="D176" s="22">
        <v>22</v>
      </c>
      <c r="E176" s="22">
        <f t="shared" si="6"/>
        <v>0</v>
      </c>
      <c r="F176" s="22">
        <v>2</v>
      </c>
      <c r="G176" s="22">
        <v>4</v>
      </c>
      <c r="H176" s="23">
        <f t="shared" si="7"/>
        <v>7.791666666666667</v>
      </c>
      <c r="I176" s="24">
        <f t="shared" si="8"/>
        <v>0.91666666666666663</v>
      </c>
    </row>
    <row r="177" spans="1:9" x14ac:dyDescent="0.3">
      <c r="A177" s="22" t="str">
        <v>EMP175</v>
      </c>
      <c r="B177" s="22" t="str">
        <v>Ashwin Narayanan</v>
      </c>
      <c r="C177" s="22" t="str">
        <f>_xlfn.XLOOKUP('MONTHLY ATTENDANCE SUMMARY'!A177,'EMPLOYEE MASTER DATA'!A178:A477,'EMPLOYEE MASTER DATA'!D178:D477)</f>
        <v>Business Development</v>
      </c>
      <c r="D177" s="22">
        <v>19</v>
      </c>
      <c r="E177" s="22">
        <f t="shared" si="6"/>
        <v>4</v>
      </c>
      <c r="F177" s="22">
        <v>1</v>
      </c>
      <c r="G177" s="22">
        <v>4</v>
      </c>
      <c r="H177" s="23">
        <f t="shared" si="7"/>
        <v>6.729166666666667</v>
      </c>
      <c r="I177" s="24">
        <f t="shared" si="8"/>
        <v>0.79166666666666663</v>
      </c>
    </row>
    <row r="178" spans="1:9" x14ac:dyDescent="0.3">
      <c r="A178" s="22" t="str">
        <v>EMP176</v>
      </c>
      <c r="B178" s="22" t="str">
        <v>Nithin Krishnan</v>
      </c>
      <c r="C178" s="22" t="str">
        <f>_xlfn.XLOOKUP('MONTHLY ATTENDANCE SUMMARY'!A178,'EMPLOYEE MASTER DATA'!A179:A478,'EMPLOYEE MASTER DATA'!D179:D478)</f>
        <v>Production</v>
      </c>
      <c r="D178" s="22">
        <v>22</v>
      </c>
      <c r="E178" s="22">
        <f t="shared" si="6"/>
        <v>0</v>
      </c>
      <c r="F178" s="22">
        <v>2</v>
      </c>
      <c r="G178" s="22">
        <v>4</v>
      </c>
      <c r="H178" s="23">
        <f t="shared" si="7"/>
        <v>7.791666666666667</v>
      </c>
      <c r="I178" s="24">
        <f t="shared" si="8"/>
        <v>0.91666666666666663</v>
      </c>
    </row>
    <row r="179" spans="1:9" x14ac:dyDescent="0.3">
      <c r="A179" s="22" t="str">
        <v>EMP177</v>
      </c>
      <c r="B179" s="22" t="str">
        <v>Deepak Narayanan</v>
      </c>
      <c r="C179" s="22" t="str">
        <f>_xlfn.XLOOKUP('MONTHLY ATTENDANCE SUMMARY'!A179,'EMPLOYEE MASTER DATA'!A180:A479,'EMPLOYEE MASTER DATA'!D180:D479)</f>
        <v>Production</v>
      </c>
      <c r="D179" s="22">
        <v>22</v>
      </c>
      <c r="E179" s="22">
        <f t="shared" si="6"/>
        <v>1</v>
      </c>
      <c r="F179" s="22">
        <v>1</v>
      </c>
      <c r="G179" s="22">
        <v>4</v>
      </c>
      <c r="H179" s="23">
        <f t="shared" si="7"/>
        <v>7.791666666666667</v>
      </c>
      <c r="I179" s="24">
        <f t="shared" si="8"/>
        <v>0.91666666666666663</v>
      </c>
    </row>
    <row r="180" spans="1:9" x14ac:dyDescent="0.3">
      <c r="A180" s="22" t="str">
        <v>EMP178</v>
      </c>
      <c r="B180" s="22" t="str">
        <v>Karthik Murugan</v>
      </c>
      <c r="C180" s="22" t="str">
        <f>_xlfn.XLOOKUP('MONTHLY ATTENDANCE SUMMARY'!A180,'EMPLOYEE MASTER DATA'!A181:A480,'EMPLOYEE MASTER DATA'!D181:D480)</f>
        <v>Admin</v>
      </c>
      <c r="D180" s="22">
        <v>20</v>
      </c>
      <c r="E180" s="22">
        <f t="shared" si="6"/>
        <v>2</v>
      </c>
      <c r="F180" s="22">
        <v>2</v>
      </c>
      <c r="G180" s="22">
        <v>4</v>
      </c>
      <c r="H180" s="23">
        <f t="shared" si="7"/>
        <v>7.0833333333333339</v>
      </c>
      <c r="I180" s="24">
        <f t="shared" si="8"/>
        <v>0.83333333333333337</v>
      </c>
    </row>
    <row r="181" spans="1:9" x14ac:dyDescent="0.3">
      <c r="A181" s="22" t="str">
        <v>EMP179</v>
      </c>
      <c r="B181" s="22" t="str">
        <v>Naveen Kannan</v>
      </c>
      <c r="C181" s="22" t="str">
        <f>_xlfn.XLOOKUP('MONTHLY ATTENDANCE SUMMARY'!A181,'EMPLOYEE MASTER DATA'!A182:A481,'EMPLOYEE MASTER DATA'!D182:D481)</f>
        <v>Production</v>
      </c>
      <c r="D181" s="22">
        <v>20</v>
      </c>
      <c r="E181" s="22">
        <f t="shared" si="6"/>
        <v>3</v>
      </c>
      <c r="F181" s="22">
        <v>1</v>
      </c>
      <c r="G181" s="22">
        <v>4</v>
      </c>
      <c r="H181" s="23">
        <f t="shared" si="7"/>
        <v>7.0833333333333339</v>
      </c>
      <c r="I181" s="24">
        <f t="shared" si="8"/>
        <v>0.83333333333333337</v>
      </c>
    </row>
    <row r="182" spans="1:9" x14ac:dyDescent="0.3">
      <c r="A182" s="22" t="str">
        <v>EMP180</v>
      </c>
      <c r="B182" s="22" t="str">
        <v>Ramesh Kannan</v>
      </c>
      <c r="C182" s="22" t="str">
        <f>_xlfn.XLOOKUP('MONTHLY ATTENDANCE SUMMARY'!A182,'EMPLOYEE MASTER DATA'!A183:A482,'EMPLOYEE MASTER DATA'!D183:D482)</f>
        <v>Maintenance</v>
      </c>
      <c r="D182" s="22">
        <v>16</v>
      </c>
      <c r="E182" s="22">
        <f t="shared" si="6"/>
        <v>7</v>
      </c>
      <c r="F182" s="22">
        <v>1</v>
      </c>
      <c r="G182" s="22">
        <v>4</v>
      </c>
      <c r="H182" s="23">
        <f t="shared" si="7"/>
        <v>5.666666666666667</v>
      </c>
      <c r="I182" s="24">
        <f t="shared" si="8"/>
        <v>0.66666666666666663</v>
      </c>
    </row>
    <row r="183" spans="1:9" x14ac:dyDescent="0.3">
      <c r="A183" s="22" t="str">
        <v>EMP181</v>
      </c>
      <c r="B183" s="22" t="str">
        <v>Manoj Narayanan</v>
      </c>
      <c r="C183" s="22" t="str">
        <f>_xlfn.XLOOKUP('MONTHLY ATTENDANCE SUMMARY'!A183,'EMPLOYEE MASTER DATA'!A184:A483,'EMPLOYEE MASTER DATA'!D184:D483)</f>
        <v>Accounts</v>
      </c>
      <c r="D183" s="22">
        <v>21</v>
      </c>
      <c r="E183" s="22">
        <f t="shared" si="6"/>
        <v>2</v>
      </c>
      <c r="F183" s="22">
        <v>1</v>
      </c>
      <c r="G183" s="22">
        <v>4</v>
      </c>
      <c r="H183" s="23">
        <f t="shared" si="7"/>
        <v>7.4375</v>
      </c>
      <c r="I183" s="24">
        <f t="shared" si="8"/>
        <v>0.875</v>
      </c>
    </row>
    <row r="184" spans="1:9" x14ac:dyDescent="0.3">
      <c r="A184" s="22" t="str">
        <v>EMP182</v>
      </c>
      <c r="B184" s="22" t="str">
        <v>Sathish Prasad</v>
      </c>
      <c r="C184" s="22" t="str">
        <f>_xlfn.XLOOKUP('MONTHLY ATTENDANCE SUMMARY'!A184,'EMPLOYEE MASTER DATA'!A185:A484,'EMPLOYEE MASTER DATA'!D185:D484)</f>
        <v>IT</v>
      </c>
      <c r="D184" s="22">
        <v>19</v>
      </c>
      <c r="E184" s="22">
        <f t="shared" si="6"/>
        <v>4</v>
      </c>
      <c r="F184" s="22">
        <v>1</v>
      </c>
      <c r="G184" s="22">
        <v>4</v>
      </c>
      <c r="H184" s="23">
        <f t="shared" si="7"/>
        <v>6.729166666666667</v>
      </c>
      <c r="I184" s="24">
        <f t="shared" si="8"/>
        <v>0.79166666666666663</v>
      </c>
    </row>
    <row r="185" spans="1:9" x14ac:dyDescent="0.3">
      <c r="A185" s="22" t="str">
        <v>EMP183</v>
      </c>
      <c r="B185" s="22" t="str">
        <v>Madhan N</v>
      </c>
      <c r="C185" s="22" t="str">
        <f>_xlfn.XLOOKUP('MONTHLY ATTENDANCE SUMMARY'!A185,'EMPLOYEE MASTER DATA'!A186:A485,'EMPLOYEE MASTER DATA'!D186:D485)</f>
        <v>Front Office</v>
      </c>
      <c r="D185" s="22">
        <v>21</v>
      </c>
      <c r="E185" s="22">
        <f t="shared" si="6"/>
        <v>1</v>
      </c>
      <c r="F185" s="22">
        <v>2</v>
      </c>
      <c r="G185" s="22">
        <v>4</v>
      </c>
      <c r="H185" s="23">
        <f t="shared" si="7"/>
        <v>7.4375</v>
      </c>
      <c r="I185" s="24">
        <f t="shared" si="8"/>
        <v>0.875</v>
      </c>
    </row>
    <row r="186" spans="1:9" x14ac:dyDescent="0.3">
      <c r="A186" s="22" t="str">
        <v>EMP184</v>
      </c>
      <c r="B186" s="22" t="str">
        <v>Ramesh R</v>
      </c>
      <c r="C186" s="22" t="str">
        <f>_xlfn.XLOOKUP('MONTHLY ATTENDANCE SUMMARY'!A186,'EMPLOYEE MASTER DATA'!A187:A486,'EMPLOYEE MASTER DATA'!D187:D486)</f>
        <v>Admin</v>
      </c>
      <c r="D186" s="22">
        <v>20</v>
      </c>
      <c r="E186" s="22">
        <f t="shared" si="6"/>
        <v>2</v>
      </c>
      <c r="F186" s="22">
        <v>2</v>
      </c>
      <c r="G186" s="22">
        <v>4</v>
      </c>
      <c r="H186" s="23">
        <f t="shared" si="7"/>
        <v>7.0833333333333339</v>
      </c>
      <c r="I186" s="24">
        <f t="shared" si="8"/>
        <v>0.83333333333333337</v>
      </c>
    </row>
    <row r="187" spans="1:9" x14ac:dyDescent="0.3">
      <c r="A187" s="22" t="str">
        <v>EMP185</v>
      </c>
      <c r="B187" s="22" t="str">
        <v>Nithin R</v>
      </c>
      <c r="C187" s="22" t="str">
        <f>_xlfn.XLOOKUP('MONTHLY ATTENDANCE SUMMARY'!A187,'EMPLOYEE MASTER DATA'!A188:A487,'EMPLOYEE MASTER DATA'!D188:D487)</f>
        <v>Front Office</v>
      </c>
      <c r="D187" s="22">
        <v>19</v>
      </c>
      <c r="E187" s="22">
        <f t="shared" si="6"/>
        <v>4</v>
      </c>
      <c r="F187" s="22">
        <v>1</v>
      </c>
      <c r="G187" s="22">
        <v>4</v>
      </c>
      <c r="H187" s="23">
        <f t="shared" si="7"/>
        <v>6.729166666666667</v>
      </c>
      <c r="I187" s="24">
        <f t="shared" si="8"/>
        <v>0.79166666666666663</v>
      </c>
    </row>
    <row r="188" spans="1:9" x14ac:dyDescent="0.3">
      <c r="A188" s="22" t="str">
        <v>EMP186</v>
      </c>
      <c r="B188" s="22" t="str">
        <v>Arun Narayanan</v>
      </c>
      <c r="C188" s="22" t="str">
        <f>_xlfn.XLOOKUP('MONTHLY ATTENDANCE SUMMARY'!A188,'EMPLOYEE MASTER DATA'!A189:A488,'EMPLOYEE MASTER DATA'!D189:D488)</f>
        <v>Back End</v>
      </c>
      <c r="D188" s="22">
        <v>22</v>
      </c>
      <c r="E188" s="22">
        <f t="shared" si="6"/>
        <v>1</v>
      </c>
      <c r="F188" s="22">
        <v>1</v>
      </c>
      <c r="G188" s="22">
        <v>4</v>
      </c>
      <c r="H188" s="23">
        <f t="shared" si="7"/>
        <v>7.791666666666667</v>
      </c>
      <c r="I188" s="24">
        <f t="shared" si="8"/>
        <v>0.91666666666666663</v>
      </c>
    </row>
    <row r="189" spans="1:9" x14ac:dyDescent="0.3">
      <c r="A189" s="22" t="str">
        <v>EMP187</v>
      </c>
      <c r="B189" s="22" t="str">
        <v>Lokesh Raj</v>
      </c>
      <c r="C189" s="22" t="str">
        <f>_xlfn.XLOOKUP('MONTHLY ATTENDANCE SUMMARY'!A189,'EMPLOYEE MASTER DATA'!A190:A489,'EMPLOYEE MASTER DATA'!D190:D489)</f>
        <v>Business Development</v>
      </c>
      <c r="D189" s="22">
        <v>21</v>
      </c>
      <c r="E189" s="22">
        <f t="shared" si="6"/>
        <v>2</v>
      </c>
      <c r="F189" s="22">
        <v>1</v>
      </c>
      <c r="G189" s="22">
        <v>4</v>
      </c>
      <c r="H189" s="23">
        <f t="shared" si="7"/>
        <v>7.4375</v>
      </c>
      <c r="I189" s="24">
        <f t="shared" si="8"/>
        <v>0.875</v>
      </c>
    </row>
    <row r="190" spans="1:9" x14ac:dyDescent="0.3">
      <c r="A190" s="22" t="str">
        <v>EMP188</v>
      </c>
      <c r="B190" s="22" t="str">
        <v>Dinesh N</v>
      </c>
      <c r="C190" s="22" t="str">
        <f>_xlfn.XLOOKUP('MONTHLY ATTENDANCE SUMMARY'!A190,'EMPLOYEE MASTER DATA'!A191:A490,'EMPLOYEE MASTER DATA'!D191:D490)</f>
        <v>Maintenance</v>
      </c>
      <c r="D190" s="22">
        <v>18</v>
      </c>
      <c r="E190" s="22">
        <f t="shared" si="6"/>
        <v>5</v>
      </c>
      <c r="F190" s="22">
        <v>1</v>
      </c>
      <c r="G190" s="22">
        <v>4</v>
      </c>
      <c r="H190" s="23">
        <f t="shared" si="7"/>
        <v>6.375</v>
      </c>
      <c r="I190" s="24">
        <f t="shared" si="8"/>
        <v>0.75</v>
      </c>
    </row>
    <row r="191" spans="1:9" x14ac:dyDescent="0.3">
      <c r="A191" s="22" t="str">
        <v>EMP189</v>
      </c>
      <c r="B191" s="22" t="str">
        <v>Saravanan M</v>
      </c>
      <c r="C191" s="22" t="str">
        <f>_xlfn.XLOOKUP('MONTHLY ATTENDANCE SUMMARY'!A191,'EMPLOYEE MASTER DATA'!A192:A491,'EMPLOYEE MASTER DATA'!D192:D491)</f>
        <v>Back End</v>
      </c>
      <c r="D191" s="22">
        <v>18</v>
      </c>
      <c r="E191" s="22">
        <f t="shared" si="6"/>
        <v>4</v>
      </c>
      <c r="F191" s="22">
        <v>2</v>
      </c>
      <c r="G191" s="22">
        <v>4</v>
      </c>
      <c r="H191" s="23">
        <f t="shared" si="7"/>
        <v>6.375</v>
      </c>
      <c r="I191" s="24">
        <f t="shared" si="8"/>
        <v>0.75</v>
      </c>
    </row>
    <row r="192" spans="1:9" x14ac:dyDescent="0.3">
      <c r="A192" s="22" t="str">
        <v>EMP190</v>
      </c>
      <c r="B192" s="22" t="str">
        <v>Prakash Krishnan</v>
      </c>
      <c r="C192" s="22" t="str">
        <f>_xlfn.XLOOKUP('MONTHLY ATTENDANCE SUMMARY'!A192,'EMPLOYEE MASTER DATA'!A193:A492,'EMPLOYEE MASTER DATA'!D193:D492)</f>
        <v>Admin</v>
      </c>
      <c r="D192" s="22">
        <v>20</v>
      </c>
      <c r="E192" s="22">
        <f t="shared" si="6"/>
        <v>2</v>
      </c>
      <c r="F192" s="22">
        <v>2</v>
      </c>
      <c r="G192" s="22">
        <v>4</v>
      </c>
      <c r="H192" s="23">
        <f t="shared" si="7"/>
        <v>7.0833333333333339</v>
      </c>
      <c r="I192" s="24">
        <f t="shared" si="8"/>
        <v>0.83333333333333337</v>
      </c>
    </row>
    <row r="193" spans="1:9" x14ac:dyDescent="0.3">
      <c r="A193" s="22" t="str">
        <v>EMP191</v>
      </c>
      <c r="B193" s="22" t="str">
        <v>Saravanan S</v>
      </c>
      <c r="C193" s="22" t="str">
        <f>_xlfn.XLOOKUP('MONTHLY ATTENDANCE SUMMARY'!A193,'EMPLOYEE MASTER DATA'!A194:A493,'EMPLOYEE MASTER DATA'!D194:D493)</f>
        <v>Admin</v>
      </c>
      <c r="D193" s="22">
        <v>21</v>
      </c>
      <c r="E193" s="22">
        <f t="shared" si="6"/>
        <v>1</v>
      </c>
      <c r="F193" s="22">
        <v>2</v>
      </c>
      <c r="G193" s="22">
        <v>4</v>
      </c>
      <c r="H193" s="23">
        <f t="shared" si="7"/>
        <v>7.4375</v>
      </c>
      <c r="I193" s="24">
        <f t="shared" si="8"/>
        <v>0.875</v>
      </c>
    </row>
    <row r="194" spans="1:9" x14ac:dyDescent="0.3">
      <c r="A194" s="22" t="str">
        <v>EMP192</v>
      </c>
      <c r="B194" s="22" t="str">
        <v>Ajay B</v>
      </c>
      <c r="C194" s="22" t="str">
        <f>_xlfn.XLOOKUP('MONTHLY ATTENDANCE SUMMARY'!A194,'EMPLOYEE MASTER DATA'!A195:A494,'EMPLOYEE MASTER DATA'!D195:D494)</f>
        <v>Business Development</v>
      </c>
      <c r="D194" s="22">
        <v>22</v>
      </c>
      <c r="E194" s="22">
        <f t="shared" si="6"/>
        <v>1</v>
      </c>
      <c r="F194" s="22">
        <v>1</v>
      </c>
      <c r="G194" s="22">
        <v>4</v>
      </c>
      <c r="H194" s="23">
        <f t="shared" si="7"/>
        <v>7.791666666666667</v>
      </c>
      <c r="I194" s="24">
        <f t="shared" si="8"/>
        <v>0.91666666666666663</v>
      </c>
    </row>
    <row r="195" spans="1:9" x14ac:dyDescent="0.3">
      <c r="A195" s="22" t="str">
        <v>EMP193</v>
      </c>
      <c r="B195" s="22" t="str">
        <v>Suresh P</v>
      </c>
      <c r="C195" s="22" t="str">
        <f>_xlfn.XLOOKUP('MONTHLY ATTENDANCE SUMMARY'!A195,'EMPLOYEE MASTER DATA'!A196:A495,'EMPLOYEE MASTER DATA'!D196:D495)</f>
        <v>Admin</v>
      </c>
      <c r="D195" s="22">
        <v>21</v>
      </c>
      <c r="E195" s="22">
        <f t="shared" ref="E195:E258" si="9">MAX(0,24-(D195+F195))</f>
        <v>2</v>
      </c>
      <c r="F195" s="22">
        <v>1</v>
      </c>
      <c r="G195" s="22">
        <v>4</v>
      </c>
      <c r="H195" s="23">
        <f t="shared" ref="H195:H258" si="10">D195*TIME(8,30,0)</f>
        <v>7.4375</v>
      </c>
      <c r="I195" s="24">
        <f t="shared" ref="I195:I258" si="11">IF(D195+E195+F195=0,0,D195/(D195+E195+F195))</f>
        <v>0.875</v>
      </c>
    </row>
    <row r="196" spans="1:9" x14ac:dyDescent="0.3">
      <c r="A196" s="22" t="str">
        <v>EMP194</v>
      </c>
      <c r="B196" s="22" t="str">
        <v>Bharath Krishnan</v>
      </c>
      <c r="C196" s="22" t="str">
        <f>_xlfn.XLOOKUP('MONTHLY ATTENDANCE SUMMARY'!A196,'EMPLOYEE MASTER DATA'!A197:A496,'EMPLOYEE MASTER DATA'!D197:D496)</f>
        <v>Procurement</v>
      </c>
      <c r="D196" s="22">
        <v>22</v>
      </c>
      <c r="E196" s="22">
        <f t="shared" si="9"/>
        <v>0</v>
      </c>
      <c r="F196" s="22">
        <v>2</v>
      </c>
      <c r="G196" s="22">
        <v>4</v>
      </c>
      <c r="H196" s="23">
        <f t="shared" si="10"/>
        <v>7.791666666666667</v>
      </c>
      <c r="I196" s="24">
        <f t="shared" si="11"/>
        <v>0.91666666666666663</v>
      </c>
    </row>
    <row r="197" spans="1:9" x14ac:dyDescent="0.3">
      <c r="A197" s="22" t="str">
        <v>EMP195</v>
      </c>
      <c r="B197" s="22" t="str">
        <v>Vinoth R</v>
      </c>
      <c r="C197" s="22" t="str">
        <f>_xlfn.XLOOKUP('MONTHLY ATTENDANCE SUMMARY'!A197,'EMPLOYEE MASTER DATA'!A198:A497,'EMPLOYEE MASTER DATA'!D198:D497)</f>
        <v>Procurement</v>
      </c>
      <c r="D197" s="22">
        <v>18</v>
      </c>
      <c r="E197" s="22">
        <f t="shared" si="9"/>
        <v>5</v>
      </c>
      <c r="F197" s="22">
        <v>1</v>
      </c>
      <c r="G197" s="22">
        <v>4</v>
      </c>
      <c r="H197" s="23">
        <f t="shared" si="10"/>
        <v>6.375</v>
      </c>
      <c r="I197" s="24">
        <f t="shared" si="11"/>
        <v>0.75</v>
      </c>
    </row>
    <row r="198" spans="1:9" x14ac:dyDescent="0.3">
      <c r="A198" s="22" t="str">
        <v>EMP196</v>
      </c>
      <c r="B198" s="22" t="str">
        <v>Lokesh Raja</v>
      </c>
      <c r="C198" s="22" t="str">
        <f>_xlfn.XLOOKUP('MONTHLY ATTENDANCE SUMMARY'!A198,'EMPLOYEE MASTER DATA'!A199:A498,'EMPLOYEE MASTER DATA'!D199:D498)</f>
        <v>HR</v>
      </c>
      <c r="D198" s="22">
        <v>18</v>
      </c>
      <c r="E198" s="22">
        <f t="shared" si="9"/>
        <v>4</v>
      </c>
      <c r="F198" s="22">
        <v>2</v>
      </c>
      <c r="G198" s="22">
        <v>4</v>
      </c>
      <c r="H198" s="23">
        <f t="shared" si="10"/>
        <v>6.375</v>
      </c>
      <c r="I198" s="24">
        <f t="shared" si="11"/>
        <v>0.75</v>
      </c>
    </row>
    <row r="199" spans="1:9" x14ac:dyDescent="0.3">
      <c r="A199" s="22" t="str">
        <v>EMP197</v>
      </c>
      <c r="B199" s="22" t="str">
        <v>Mohan K</v>
      </c>
      <c r="C199" s="22" t="str">
        <f>_xlfn.XLOOKUP('MONTHLY ATTENDANCE SUMMARY'!A199,'EMPLOYEE MASTER DATA'!A200:A499,'EMPLOYEE MASTER DATA'!D200:D499)</f>
        <v>IT</v>
      </c>
      <c r="D199" s="22">
        <v>22</v>
      </c>
      <c r="E199" s="22">
        <f t="shared" si="9"/>
        <v>1</v>
      </c>
      <c r="F199" s="22">
        <v>1</v>
      </c>
      <c r="G199" s="22">
        <v>4</v>
      </c>
      <c r="H199" s="23">
        <f t="shared" si="10"/>
        <v>7.791666666666667</v>
      </c>
      <c r="I199" s="24">
        <f t="shared" si="11"/>
        <v>0.91666666666666663</v>
      </c>
    </row>
    <row r="200" spans="1:9" x14ac:dyDescent="0.3">
      <c r="A200" s="22" t="str">
        <v>EMP198</v>
      </c>
      <c r="B200" s="22" t="str">
        <v>Ajay Narayanan</v>
      </c>
      <c r="C200" s="22" t="str">
        <f>_xlfn.XLOOKUP('MONTHLY ATTENDANCE SUMMARY'!A200,'EMPLOYEE MASTER DATA'!A201:A500,'EMPLOYEE MASTER DATA'!D201:D500)</f>
        <v>Back End</v>
      </c>
      <c r="D200" s="22">
        <v>18</v>
      </c>
      <c r="E200" s="22">
        <f t="shared" si="9"/>
        <v>5</v>
      </c>
      <c r="F200" s="22">
        <v>1</v>
      </c>
      <c r="G200" s="22">
        <v>4</v>
      </c>
      <c r="H200" s="23">
        <f t="shared" si="10"/>
        <v>6.375</v>
      </c>
      <c r="I200" s="24">
        <f t="shared" si="11"/>
        <v>0.75</v>
      </c>
    </row>
    <row r="201" spans="1:9" x14ac:dyDescent="0.3">
      <c r="A201" s="22" t="str">
        <v>EMP199</v>
      </c>
      <c r="B201" s="22" t="str">
        <v>Ashwin Kumar</v>
      </c>
      <c r="C201" s="22" t="str">
        <f>_xlfn.XLOOKUP('MONTHLY ATTENDANCE SUMMARY'!A201,'EMPLOYEE MASTER DATA'!A202:A501,'EMPLOYEE MASTER DATA'!D202:D501)</f>
        <v>Production</v>
      </c>
      <c r="D201" s="22">
        <v>18</v>
      </c>
      <c r="E201" s="22">
        <f t="shared" si="9"/>
        <v>5</v>
      </c>
      <c r="F201" s="22">
        <v>1</v>
      </c>
      <c r="G201" s="22">
        <v>4</v>
      </c>
      <c r="H201" s="23">
        <f t="shared" si="10"/>
        <v>6.375</v>
      </c>
      <c r="I201" s="24">
        <f t="shared" si="11"/>
        <v>0.75</v>
      </c>
    </row>
    <row r="202" spans="1:9" x14ac:dyDescent="0.3">
      <c r="A202" s="22" t="str">
        <v>EMP200</v>
      </c>
      <c r="B202" s="22" t="str">
        <v>Vijay B</v>
      </c>
      <c r="C202" s="22" t="str">
        <f>_xlfn.XLOOKUP('MONTHLY ATTENDANCE SUMMARY'!A202,'EMPLOYEE MASTER DATA'!A203:A502,'EMPLOYEE MASTER DATA'!D203:D502)</f>
        <v>Back End</v>
      </c>
      <c r="D202" s="22">
        <v>20</v>
      </c>
      <c r="E202" s="22">
        <f t="shared" si="9"/>
        <v>2</v>
      </c>
      <c r="F202" s="22">
        <v>2</v>
      </c>
      <c r="G202" s="22">
        <v>4</v>
      </c>
      <c r="H202" s="23">
        <f t="shared" si="10"/>
        <v>7.0833333333333339</v>
      </c>
      <c r="I202" s="24">
        <f t="shared" si="11"/>
        <v>0.83333333333333337</v>
      </c>
    </row>
    <row r="203" spans="1:9" x14ac:dyDescent="0.3">
      <c r="A203" s="22" t="str">
        <v>EMP201</v>
      </c>
      <c r="B203" s="22" t="str">
        <v>Bharath Narayanan</v>
      </c>
      <c r="C203" s="22" t="str">
        <f>_xlfn.XLOOKUP('MONTHLY ATTENDANCE SUMMARY'!A203,'EMPLOYEE MASTER DATA'!A204:A503,'EMPLOYEE MASTER DATA'!D204:D503)</f>
        <v>Production</v>
      </c>
      <c r="D203" s="22">
        <v>21</v>
      </c>
      <c r="E203" s="22">
        <f t="shared" si="9"/>
        <v>2</v>
      </c>
      <c r="F203" s="22">
        <v>1</v>
      </c>
      <c r="G203" s="22">
        <v>4</v>
      </c>
      <c r="H203" s="23">
        <f t="shared" si="10"/>
        <v>7.4375</v>
      </c>
      <c r="I203" s="24">
        <f t="shared" si="11"/>
        <v>0.875</v>
      </c>
    </row>
    <row r="204" spans="1:9" x14ac:dyDescent="0.3">
      <c r="A204" s="22" t="str">
        <v>EMP202</v>
      </c>
      <c r="B204" s="22" t="str">
        <v>Mohan B</v>
      </c>
      <c r="C204" s="22" t="str">
        <f>_xlfn.XLOOKUP('MONTHLY ATTENDANCE SUMMARY'!A204,'EMPLOYEE MASTER DATA'!A205:A504,'EMPLOYEE MASTER DATA'!D205:D504)</f>
        <v>Back End</v>
      </c>
      <c r="D204" s="22">
        <v>20</v>
      </c>
      <c r="E204" s="22">
        <f t="shared" si="9"/>
        <v>2</v>
      </c>
      <c r="F204" s="22">
        <v>2</v>
      </c>
      <c r="G204" s="22">
        <v>4</v>
      </c>
      <c r="H204" s="23">
        <f t="shared" si="10"/>
        <v>7.0833333333333339</v>
      </c>
      <c r="I204" s="24">
        <f t="shared" si="11"/>
        <v>0.83333333333333337</v>
      </c>
    </row>
    <row r="205" spans="1:9" x14ac:dyDescent="0.3">
      <c r="A205" s="22" t="str">
        <v>EMP203</v>
      </c>
      <c r="B205" s="22" t="str">
        <v>Dinesh G</v>
      </c>
      <c r="C205" s="22" t="str">
        <f>_xlfn.XLOOKUP('MONTHLY ATTENDANCE SUMMARY'!A205,'EMPLOYEE MASTER DATA'!A206:A505,'EMPLOYEE MASTER DATA'!D206:D505)</f>
        <v>Back End</v>
      </c>
      <c r="D205" s="22">
        <v>20</v>
      </c>
      <c r="E205" s="22">
        <f t="shared" si="9"/>
        <v>3</v>
      </c>
      <c r="F205" s="22">
        <v>1</v>
      </c>
      <c r="G205" s="22">
        <v>4</v>
      </c>
      <c r="H205" s="23">
        <f t="shared" si="10"/>
        <v>7.0833333333333339</v>
      </c>
      <c r="I205" s="24">
        <f t="shared" si="11"/>
        <v>0.83333333333333337</v>
      </c>
    </row>
    <row r="206" spans="1:9" x14ac:dyDescent="0.3">
      <c r="A206" s="22" t="str">
        <v>EMP204</v>
      </c>
      <c r="B206" s="22" t="str">
        <v>Yogesh Narayanan</v>
      </c>
      <c r="C206" s="22" t="str">
        <f>_xlfn.XLOOKUP('MONTHLY ATTENDANCE SUMMARY'!A206,'EMPLOYEE MASTER DATA'!A207:A506,'EMPLOYEE MASTER DATA'!D207:D506)</f>
        <v>Back End</v>
      </c>
      <c r="D206" s="22">
        <v>22</v>
      </c>
      <c r="E206" s="22">
        <f t="shared" si="9"/>
        <v>0</v>
      </c>
      <c r="F206" s="22">
        <v>2</v>
      </c>
      <c r="G206" s="22">
        <v>4</v>
      </c>
      <c r="H206" s="23">
        <f t="shared" si="10"/>
        <v>7.791666666666667</v>
      </c>
      <c r="I206" s="24">
        <f t="shared" si="11"/>
        <v>0.91666666666666663</v>
      </c>
    </row>
    <row r="207" spans="1:9" x14ac:dyDescent="0.3">
      <c r="A207" s="22" t="str">
        <v>EMP205</v>
      </c>
      <c r="B207" s="22" t="str">
        <v>Manoj M</v>
      </c>
      <c r="C207" s="22" t="str">
        <f>_xlfn.XLOOKUP('MONTHLY ATTENDANCE SUMMARY'!A207,'EMPLOYEE MASTER DATA'!A208:A507,'EMPLOYEE MASTER DATA'!D208:D507)</f>
        <v>Accounts</v>
      </c>
      <c r="D207" s="22">
        <v>19</v>
      </c>
      <c r="E207" s="22">
        <f t="shared" si="9"/>
        <v>3</v>
      </c>
      <c r="F207" s="22">
        <v>2</v>
      </c>
      <c r="G207" s="22">
        <v>4</v>
      </c>
      <c r="H207" s="23">
        <f t="shared" si="10"/>
        <v>6.729166666666667</v>
      </c>
      <c r="I207" s="24">
        <f t="shared" si="11"/>
        <v>0.79166666666666663</v>
      </c>
    </row>
    <row r="208" spans="1:9" x14ac:dyDescent="0.3">
      <c r="A208" s="22" t="str">
        <v>EMP206</v>
      </c>
      <c r="B208" s="22" t="str">
        <v>Naveen V</v>
      </c>
      <c r="C208" s="22" t="str">
        <f>_xlfn.XLOOKUP('MONTHLY ATTENDANCE SUMMARY'!A208,'EMPLOYEE MASTER DATA'!A209:A508,'EMPLOYEE MASTER DATA'!D209:D508)</f>
        <v>Accounts</v>
      </c>
      <c r="D208" s="22">
        <v>18</v>
      </c>
      <c r="E208" s="22">
        <f t="shared" si="9"/>
        <v>4</v>
      </c>
      <c r="F208" s="22">
        <v>2</v>
      </c>
      <c r="G208" s="22">
        <v>4</v>
      </c>
      <c r="H208" s="23">
        <f t="shared" si="10"/>
        <v>6.375</v>
      </c>
      <c r="I208" s="24">
        <f t="shared" si="11"/>
        <v>0.75</v>
      </c>
    </row>
    <row r="209" spans="1:9" x14ac:dyDescent="0.3">
      <c r="A209" s="22" t="str">
        <v>EMP207</v>
      </c>
      <c r="B209" s="22" t="str">
        <v>Lokesh M</v>
      </c>
      <c r="C209" s="22" t="str">
        <f>_xlfn.XLOOKUP('MONTHLY ATTENDANCE SUMMARY'!A209,'EMPLOYEE MASTER DATA'!A210:A509,'EMPLOYEE MASTER DATA'!D210:D509)</f>
        <v>HR</v>
      </c>
      <c r="D209" s="22">
        <v>20</v>
      </c>
      <c r="E209" s="22">
        <f t="shared" si="9"/>
        <v>3</v>
      </c>
      <c r="F209" s="22">
        <v>1</v>
      </c>
      <c r="G209" s="22">
        <v>4</v>
      </c>
      <c r="H209" s="23">
        <f t="shared" si="10"/>
        <v>7.0833333333333339</v>
      </c>
      <c r="I209" s="24">
        <f t="shared" si="11"/>
        <v>0.83333333333333337</v>
      </c>
    </row>
    <row r="210" spans="1:9" x14ac:dyDescent="0.3">
      <c r="A210" s="22" t="str">
        <v>EMP208</v>
      </c>
      <c r="B210" s="22" t="str">
        <v>Ganesh Krishnan</v>
      </c>
      <c r="C210" s="22" t="str">
        <f>_xlfn.XLOOKUP('MONTHLY ATTENDANCE SUMMARY'!A210,'EMPLOYEE MASTER DATA'!A211:A510,'EMPLOYEE MASTER DATA'!D211:D510)</f>
        <v>Accounts</v>
      </c>
      <c r="D210" s="22">
        <v>19</v>
      </c>
      <c r="E210" s="22">
        <f t="shared" si="9"/>
        <v>3</v>
      </c>
      <c r="F210" s="22">
        <v>2</v>
      </c>
      <c r="G210" s="22">
        <v>4</v>
      </c>
      <c r="H210" s="23">
        <f t="shared" si="10"/>
        <v>6.729166666666667</v>
      </c>
      <c r="I210" s="24">
        <f t="shared" si="11"/>
        <v>0.79166666666666663</v>
      </c>
    </row>
    <row r="211" spans="1:9" x14ac:dyDescent="0.3">
      <c r="A211" s="22" t="str">
        <v>EMP209</v>
      </c>
      <c r="B211" s="22" t="str">
        <v>Deepak B</v>
      </c>
      <c r="C211" s="22" t="str">
        <f>_xlfn.XLOOKUP('MONTHLY ATTENDANCE SUMMARY'!A211,'EMPLOYEE MASTER DATA'!A212:A511,'EMPLOYEE MASTER DATA'!D212:D511)</f>
        <v>Maintenance</v>
      </c>
      <c r="D211" s="22">
        <v>22</v>
      </c>
      <c r="E211" s="22">
        <f t="shared" si="9"/>
        <v>1</v>
      </c>
      <c r="F211" s="22">
        <v>1</v>
      </c>
      <c r="G211" s="22">
        <v>4</v>
      </c>
      <c r="H211" s="23">
        <f t="shared" si="10"/>
        <v>7.791666666666667</v>
      </c>
      <c r="I211" s="24">
        <f t="shared" si="11"/>
        <v>0.91666666666666663</v>
      </c>
    </row>
    <row r="212" spans="1:9" x14ac:dyDescent="0.3">
      <c r="A212" s="22" t="str">
        <v>EMP210</v>
      </c>
      <c r="B212" s="22" t="str">
        <v>Madhan K</v>
      </c>
      <c r="C212" s="22" t="str">
        <f>_xlfn.XLOOKUP('MONTHLY ATTENDANCE SUMMARY'!A212,'EMPLOYEE MASTER DATA'!A213:A512,'EMPLOYEE MASTER DATA'!D213:D512)</f>
        <v>IT</v>
      </c>
      <c r="D212" s="22">
        <v>22</v>
      </c>
      <c r="E212" s="22">
        <f t="shared" si="9"/>
        <v>0</v>
      </c>
      <c r="F212" s="22">
        <v>2</v>
      </c>
      <c r="G212" s="22">
        <v>4</v>
      </c>
      <c r="H212" s="23">
        <f t="shared" si="10"/>
        <v>7.791666666666667</v>
      </c>
      <c r="I212" s="24">
        <f t="shared" si="11"/>
        <v>0.91666666666666663</v>
      </c>
    </row>
    <row r="213" spans="1:9" x14ac:dyDescent="0.3">
      <c r="A213" s="22" t="str">
        <v>EMP211</v>
      </c>
      <c r="B213" s="22" t="str">
        <v>Suresh Selvam</v>
      </c>
      <c r="C213" s="22" t="str">
        <f>_xlfn.XLOOKUP('MONTHLY ATTENDANCE SUMMARY'!A213,'EMPLOYEE MASTER DATA'!A214:A513,'EMPLOYEE MASTER DATA'!D214:D513)</f>
        <v>Procurement</v>
      </c>
      <c r="D213" s="22">
        <v>20</v>
      </c>
      <c r="E213" s="22">
        <f t="shared" si="9"/>
        <v>3</v>
      </c>
      <c r="F213" s="22">
        <v>1</v>
      </c>
      <c r="G213" s="22">
        <v>4</v>
      </c>
      <c r="H213" s="23">
        <f t="shared" si="10"/>
        <v>7.0833333333333339</v>
      </c>
      <c r="I213" s="24">
        <f t="shared" si="11"/>
        <v>0.83333333333333337</v>
      </c>
    </row>
    <row r="214" spans="1:9" x14ac:dyDescent="0.3">
      <c r="A214" s="22" t="str">
        <v>EMP212</v>
      </c>
      <c r="B214" s="22" t="str">
        <v>Harish P</v>
      </c>
      <c r="C214" s="22" t="str">
        <f>_xlfn.XLOOKUP('MONTHLY ATTENDANCE SUMMARY'!A214,'EMPLOYEE MASTER DATA'!A215:A514,'EMPLOYEE MASTER DATA'!D215:D514)</f>
        <v>Sales</v>
      </c>
      <c r="D214" s="22">
        <v>22</v>
      </c>
      <c r="E214" s="22">
        <f t="shared" si="9"/>
        <v>1</v>
      </c>
      <c r="F214" s="22">
        <v>1</v>
      </c>
      <c r="G214" s="22">
        <v>4</v>
      </c>
      <c r="H214" s="23">
        <f t="shared" si="10"/>
        <v>7.791666666666667</v>
      </c>
      <c r="I214" s="24">
        <f t="shared" si="11"/>
        <v>0.91666666666666663</v>
      </c>
    </row>
    <row r="215" spans="1:9" x14ac:dyDescent="0.3">
      <c r="A215" s="22" t="str">
        <v>EMP213</v>
      </c>
      <c r="B215" s="22" t="str">
        <v>Saravanan Narayanan</v>
      </c>
      <c r="C215" s="22" t="str">
        <f>_xlfn.XLOOKUP('MONTHLY ATTENDANCE SUMMARY'!A215,'EMPLOYEE MASTER DATA'!A216:A515,'EMPLOYEE MASTER DATA'!D216:D515)</f>
        <v>Back End</v>
      </c>
      <c r="D215" s="22">
        <v>20</v>
      </c>
      <c r="E215" s="22">
        <f t="shared" si="9"/>
        <v>3</v>
      </c>
      <c r="F215" s="22">
        <v>1</v>
      </c>
      <c r="G215" s="22">
        <v>4</v>
      </c>
      <c r="H215" s="23">
        <f t="shared" si="10"/>
        <v>7.0833333333333339</v>
      </c>
      <c r="I215" s="24">
        <f t="shared" si="11"/>
        <v>0.83333333333333337</v>
      </c>
    </row>
    <row r="216" spans="1:9" x14ac:dyDescent="0.3">
      <c r="A216" s="22" t="str">
        <v>EMP214</v>
      </c>
      <c r="B216" s="22" t="str">
        <v>Mohan Kannan</v>
      </c>
      <c r="C216" s="22" t="str">
        <f>_xlfn.XLOOKUP('MONTHLY ATTENDANCE SUMMARY'!A216,'EMPLOYEE MASTER DATA'!A217:A516,'EMPLOYEE MASTER DATA'!D217:D516)</f>
        <v>Procurement</v>
      </c>
      <c r="D216" s="22">
        <v>19</v>
      </c>
      <c r="E216" s="22">
        <f t="shared" si="9"/>
        <v>4</v>
      </c>
      <c r="F216" s="22">
        <v>1</v>
      </c>
      <c r="G216" s="22">
        <v>4</v>
      </c>
      <c r="H216" s="23">
        <f t="shared" si="10"/>
        <v>6.729166666666667</v>
      </c>
      <c r="I216" s="24">
        <f t="shared" si="11"/>
        <v>0.79166666666666663</v>
      </c>
    </row>
    <row r="217" spans="1:9" x14ac:dyDescent="0.3">
      <c r="A217" s="22" t="str">
        <v>EMP215</v>
      </c>
      <c r="B217" s="22" t="str">
        <v>Karthik V</v>
      </c>
      <c r="C217" s="22" t="str">
        <f>_xlfn.XLOOKUP('MONTHLY ATTENDANCE SUMMARY'!A217,'EMPLOYEE MASTER DATA'!A218:A517,'EMPLOYEE MASTER DATA'!D218:D517)</f>
        <v>IT</v>
      </c>
      <c r="D217" s="22">
        <v>21</v>
      </c>
      <c r="E217" s="22">
        <f t="shared" si="9"/>
        <v>2</v>
      </c>
      <c r="F217" s="22">
        <v>1</v>
      </c>
      <c r="G217" s="22">
        <v>4</v>
      </c>
      <c r="H217" s="23">
        <f t="shared" si="10"/>
        <v>7.4375</v>
      </c>
      <c r="I217" s="24">
        <f t="shared" si="11"/>
        <v>0.875</v>
      </c>
    </row>
    <row r="218" spans="1:9" x14ac:dyDescent="0.3">
      <c r="A218" s="22" t="str">
        <v>EMP216</v>
      </c>
      <c r="B218" s="22" t="str">
        <v>Arun Babu</v>
      </c>
      <c r="C218" s="22" t="str">
        <f>_xlfn.XLOOKUP('MONTHLY ATTENDANCE SUMMARY'!A218,'EMPLOYEE MASTER DATA'!A219:A518,'EMPLOYEE MASTER DATA'!D219:D518)</f>
        <v>Production</v>
      </c>
      <c r="D218" s="22">
        <v>19</v>
      </c>
      <c r="E218" s="22">
        <f t="shared" si="9"/>
        <v>4</v>
      </c>
      <c r="F218" s="22">
        <v>1</v>
      </c>
      <c r="G218" s="22">
        <v>4</v>
      </c>
      <c r="H218" s="23">
        <f t="shared" si="10"/>
        <v>6.729166666666667</v>
      </c>
      <c r="I218" s="24">
        <f t="shared" si="11"/>
        <v>0.79166666666666663</v>
      </c>
    </row>
    <row r="219" spans="1:9" x14ac:dyDescent="0.3">
      <c r="A219" s="22" t="str">
        <v>EMP217</v>
      </c>
      <c r="B219" s="22" t="str">
        <v>Praveen Raj</v>
      </c>
      <c r="C219" s="22" t="str">
        <f>_xlfn.XLOOKUP('MONTHLY ATTENDANCE SUMMARY'!A219,'EMPLOYEE MASTER DATA'!A220:A519,'EMPLOYEE MASTER DATA'!D220:D519)</f>
        <v>Sales</v>
      </c>
      <c r="D219" s="22">
        <v>18</v>
      </c>
      <c r="E219" s="22">
        <f t="shared" si="9"/>
        <v>5</v>
      </c>
      <c r="F219" s="22">
        <v>1</v>
      </c>
      <c r="G219" s="22">
        <v>4</v>
      </c>
      <c r="H219" s="23">
        <f t="shared" si="10"/>
        <v>6.375</v>
      </c>
      <c r="I219" s="24">
        <f t="shared" si="11"/>
        <v>0.75</v>
      </c>
    </row>
    <row r="220" spans="1:9" x14ac:dyDescent="0.3">
      <c r="A220" s="22" t="str">
        <v>EMP218</v>
      </c>
      <c r="B220" s="22" t="str">
        <v>Rahul V</v>
      </c>
      <c r="C220" s="22" t="str">
        <f>_xlfn.XLOOKUP('MONTHLY ATTENDANCE SUMMARY'!A220,'EMPLOYEE MASTER DATA'!A221:A520,'EMPLOYEE MASTER DATA'!D221:D520)</f>
        <v>Accounts</v>
      </c>
      <c r="D220" s="22">
        <v>19</v>
      </c>
      <c r="E220" s="22">
        <f t="shared" si="9"/>
        <v>4</v>
      </c>
      <c r="F220" s="22">
        <v>1</v>
      </c>
      <c r="G220" s="22">
        <v>4</v>
      </c>
      <c r="H220" s="23">
        <f t="shared" si="10"/>
        <v>6.729166666666667</v>
      </c>
      <c r="I220" s="24">
        <f t="shared" si="11"/>
        <v>0.79166666666666663</v>
      </c>
    </row>
    <row r="221" spans="1:9" x14ac:dyDescent="0.3">
      <c r="A221" s="22" t="str">
        <v>EMP219</v>
      </c>
      <c r="B221" s="22" t="str">
        <v>Arun S</v>
      </c>
      <c r="C221" s="22" t="str">
        <f>_xlfn.XLOOKUP('MONTHLY ATTENDANCE SUMMARY'!A221,'EMPLOYEE MASTER DATA'!A222:A521,'EMPLOYEE MASTER DATA'!D222:D521)</f>
        <v>HR</v>
      </c>
      <c r="D221" s="22">
        <v>22</v>
      </c>
      <c r="E221" s="22">
        <f t="shared" si="9"/>
        <v>1</v>
      </c>
      <c r="F221" s="22">
        <v>1</v>
      </c>
      <c r="G221" s="22">
        <v>4</v>
      </c>
      <c r="H221" s="23">
        <f t="shared" si="10"/>
        <v>7.791666666666667</v>
      </c>
      <c r="I221" s="24">
        <f t="shared" si="11"/>
        <v>0.91666666666666663</v>
      </c>
    </row>
    <row r="222" spans="1:9" x14ac:dyDescent="0.3">
      <c r="A222" s="22" t="str">
        <v>EMP220</v>
      </c>
      <c r="B222" s="22" t="str">
        <v>Vignesh G</v>
      </c>
      <c r="C222" s="22" t="str">
        <f>_xlfn.XLOOKUP('MONTHLY ATTENDANCE SUMMARY'!A222,'EMPLOYEE MASTER DATA'!A223:A522,'EMPLOYEE MASTER DATA'!D223:D522)</f>
        <v>Procurement</v>
      </c>
      <c r="D222" s="22">
        <v>19</v>
      </c>
      <c r="E222" s="22">
        <f t="shared" si="9"/>
        <v>4</v>
      </c>
      <c r="F222" s="22">
        <v>1</v>
      </c>
      <c r="G222" s="22">
        <v>4</v>
      </c>
      <c r="H222" s="23">
        <f t="shared" si="10"/>
        <v>6.729166666666667</v>
      </c>
      <c r="I222" s="24">
        <f t="shared" si="11"/>
        <v>0.79166666666666663</v>
      </c>
    </row>
    <row r="223" spans="1:9" x14ac:dyDescent="0.3">
      <c r="A223" s="22" t="str">
        <v>EMP221</v>
      </c>
      <c r="B223" s="22" t="str">
        <v>Lokesh K</v>
      </c>
      <c r="C223" s="22" t="str">
        <f>_xlfn.XLOOKUP('MONTHLY ATTENDANCE SUMMARY'!A223,'EMPLOYEE MASTER DATA'!A224:A523,'EMPLOYEE MASTER DATA'!D224:D523)</f>
        <v>Back End</v>
      </c>
      <c r="D223" s="22">
        <v>21</v>
      </c>
      <c r="E223" s="22">
        <f t="shared" si="9"/>
        <v>2</v>
      </c>
      <c r="F223" s="22">
        <v>1</v>
      </c>
      <c r="G223" s="22">
        <v>4</v>
      </c>
      <c r="H223" s="23">
        <f t="shared" si="10"/>
        <v>7.4375</v>
      </c>
      <c r="I223" s="24">
        <f t="shared" si="11"/>
        <v>0.875</v>
      </c>
    </row>
    <row r="224" spans="1:9" x14ac:dyDescent="0.3">
      <c r="A224" s="22" t="str">
        <v>EMP222</v>
      </c>
      <c r="B224" s="22" t="str">
        <v>Vinoth Murugan</v>
      </c>
      <c r="C224" s="22" t="str">
        <f>_xlfn.XLOOKUP('MONTHLY ATTENDANCE SUMMARY'!A224,'EMPLOYEE MASTER DATA'!A225:A524,'EMPLOYEE MASTER DATA'!D225:D524)</f>
        <v>Production</v>
      </c>
      <c r="D224" s="22">
        <v>22</v>
      </c>
      <c r="E224" s="22">
        <f t="shared" si="9"/>
        <v>1</v>
      </c>
      <c r="F224" s="22">
        <v>1</v>
      </c>
      <c r="G224" s="22">
        <v>4</v>
      </c>
      <c r="H224" s="23">
        <f t="shared" si="10"/>
        <v>7.791666666666667</v>
      </c>
      <c r="I224" s="24">
        <f t="shared" si="11"/>
        <v>0.91666666666666663</v>
      </c>
    </row>
    <row r="225" spans="1:9" x14ac:dyDescent="0.3">
      <c r="A225" s="22" t="str">
        <v>EMP223</v>
      </c>
      <c r="B225" s="22" t="str">
        <v>Prakash R</v>
      </c>
      <c r="C225" s="22" t="str">
        <f>_xlfn.XLOOKUP('MONTHLY ATTENDANCE SUMMARY'!A225,'EMPLOYEE MASTER DATA'!A226:A525,'EMPLOYEE MASTER DATA'!D226:D525)</f>
        <v>Maintenance</v>
      </c>
      <c r="D225" s="22">
        <v>22</v>
      </c>
      <c r="E225" s="22">
        <f t="shared" si="9"/>
        <v>1</v>
      </c>
      <c r="F225" s="22">
        <v>1</v>
      </c>
      <c r="G225" s="22">
        <v>4</v>
      </c>
      <c r="H225" s="23">
        <f t="shared" si="10"/>
        <v>7.791666666666667</v>
      </c>
      <c r="I225" s="24">
        <f t="shared" si="11"/>
        <v>0.91666666666666663</v>
      </c>
    </row>
    <row r="226" spans="1:9" x14ac:dyDescent="0.3">
      <c r="A226" s="22" t="str">
        <v>EMP224</v>
      </c>
      <c r="B226" s="22" t="str">
        <v>Bharath Murugan</v>
      </c>
      <c r="C226" s="22" t="str">
        <f>_xlfn.XLOOKUP('MONTHLY ATTENDANCE SUMMARY'!A226,'EMPLOYEE MASTER DATA'!A227:A526,'EMPLOYEE MASTER DATA'!D227:D526)</f>
        <v>Production</v>
      </c>
      <c r="D226" s="22">
        <v>21</v>
      </c>
      <c r="E226" s="22">
        <f t="shared" si="9"/>
        <v>1</v>
      </c>
      <c r="F226" s="22">
        <v>2</v>
      </c>
      <c r="G226" s="22">
        <v>4</v>
      </c>
      <c r="H226" s="23">
        <f t="shared" si="10"/>
        <v>7.4375</v>
      </c>
      <c r="I226" s="24">
        <f t="shared" si="11"/>
        <v>0.875</v>
      </c>
    </row>
    <row r="227" spans="1:9" x14ac:dyDescent="0.3">
      <c r="A227" s="22" t="str">
        <v>EMP225</v>
      </c>
      <c r="B227" s="22" t="str">
        <v>Ramesh Prasad</v>
      </c>
      <c r="C227" s="22" t="str">
        <f>_xlfn.XLOOKUP('MONTHLY ATTENDANCE SUMMARY'!A227,'EMPLOYEE MASTER DATA'!A228:A527,'EMPLOYEE MASTER DATA'!D228:D527)</f>
        <v>Front Office</v>
      </c>
      <c r="D227" s="22">
        <v>19</v>
      </c>
      <c r="E227" s="22">
        <f t="shared" si="9"/>
        <v>3</v>
      </c>
      <c r="F227" s="22">
        <v>2</v>
      </c>
      <c r="G227" s="22">
        <v>4</v>
      </c>
      <c r="H227" s="23">
        <f t="shared" si="10"/>
        <v>6.729166666666667</v>
      </c>
      <c r="I227" s="24">
        <f t="shared" si="11"/>
        <v>0.79166666666666663</v>
      </c>
    </row>
    <row r="228" spans="1:9" x14ac:dyDescent="0.3">
      <c r="A228" s="22" t="str">
        <v>EMP226</v>
      </c>
      <c r="B228" s="22" t="str">
        <v>Sathish R</v>
      </c>
      <c r="C228" s="22" t="str">
        <f>_xlfn.XLOOKUP('MONTHLY ATTENDANCE SUMMARY'!A228,'EMPLOYEE MASTER DATA'!A229:A528,'EMPLOYEE MASTER DATA'!D229:D528)</f>
        <v>IT</v>
      </c>
      <c r="D228" s="22">
        <v>20</v>
      </c>
      <c r="E228" s="22">
        <f t="shared" si="9"/>
        <v>2</v>
      </c>
      <c r="F228" s="22">
        <v>2</v>
      </c>
      <c r="G228" s="22">
        <v>4</v>
      </c>
      <c r="H228" s="23">
        <f t="shared" si="10"/>
        <v>7.0833333333333339</v>
      </c>
      <c r="I228" s="24">
        <f t="shared" si="11"/>
        <v>0.83333333333333337</v>
      </c>
    </row>
    <row r="229" spans="1:9" x14ac:dyDescent="0.3">
      <c r="A229" s="22" t="str">
        <v>EMP227</v>
      </c>
      <c r="B229" s="22" t="str">
        <v>Mohan N</v>
      </c>
      <c r="C229" s="22" t="str">
        <f>_xlfn.XLOOKUP('MONTHLY ATTENDANCE SUMMARY'!A229,'EMPLOYEE MASTER DATA'!A230:A529,'EMPLOYEE MASTER DATA'!D230:D529)</f>
        <v>Back End</v>
      </c>
      <c r="D229" s="22">
        <v>20</v>
      </c>
      <c r="E229" s="22">
        <f t="shared" si="9"/>
        <v>2</v>
      </c>
      <c r="F229" s="22">
        <v>2</v>
      </c>
      <c r="G229" s="22">
        <v>4</v>
      </c>
      <c r="H229" s="23">
        <f t="shared" si="10"/>
        <v>7.0833333333333339</v>
      </c>
      <c r="I229" s="24">
        <f t="shared" si="11"/>
        <v>0.83333333333333337</v>
      </c>
    </row>
    <row r="230" spans="1:9" x14ac:dyDescent="0.3">
      <c r="A230" s="22" t="str">
        <v>EMP228</v>
      </c>
      <c r="B230" s="22" t="str">
        <v>Naveen Murugan</v>
      </c>
      <c r="C230" s="22" t="str">
        <f>_xlfn.XLOOKUP('MONTHLY ATTENDANCE SUMMARY'!A230,'EMPLOYEE MASTER DATA'!A231:A530,'EMPLOYEE MASTER DATA'!D231:D530)</f>
        <v>Front Office</v>
      </c>
      <c r="D230" s="22">
        <v>18</v>
      </c>
      <c r="E230" s="22">
        <f t="shared" si="9"/>
        <v>5</v>
      </c>
      <c r="F230" s="22">
        <v>1</v>
      </c>
      <c r="G230" s="22">
        <v>4</v>
      </c>
      <c r="H230" s="23">
        <f t="shared" si="10"/>
        <v>6.375</v>
      </c>
      <c r="I230" s="24">
        <f t="shared" si="11"/>
        <v>0.75</v>
      </c>
    </row>
    <row r="231" spans="1:9" x14ac:dyDescent="0.3">
      <c r="A231" s="22" t="str">
        <v>EMP229</v>
      </c>
      <c r="B231" s="22" t="str">
        <v>Mohan Babu</v>
      </c>
      <c r="C231" s="22" t="str">
        <f>_xlfn.XLOOKUP('MONTHLY ATTENDANCE SUMMARY'!A231,'EMPLOYEE MASTER DATA'!A232:A531,'EMPLOYEE MASTER DATA'!D232:D531)</f>
        <v>Accounts</v>
      </c>
      <c r="D231" s="22">
        <v>22</v>
      </c>
      <c r="E231" s="22">
        <f t="shared" si="9"/>
        <v>1</v>
      </c>
      <c r="F231" s="22">
        <v>1</v>
      </c>
      <c r="G231" s="22">
        <v>4</v>
      </c>
      <c r="H231" s="23">
        <f t="shared" si="10"/>
        <v>7.791666666666667</v>
      </c>
      <c r="I231" s="24">
        <f t="shared" si="11"/>
        <v>0.91666666666666663</v>
      </c>
    </row>
    <row r="232" spans="1:9" x14ac:dyDescent="0.3">
      <c r="A232" s="22" t="str">
        <v>EMP230</v>
      </c>
      <c r="B232" s="22" t="str">
        <v>Naveen T</v>
      </c>
      <c r="C232" s="22" t="str">
        <f>_xlfn.XLOOKUP('MONTHLY ATTENDANCE SUMMARY'!A232,'EMPLOYEE MASTER DATA'!A233:A532,'EMPLOYEE MASTER DATA'!D233:D532)</f>
        <v>Customer Relationship</v>
      </c>
      <c r="D232" s="22">
        <v>19</v>
      </c>
      <c r="E232" s="22">
        <f t="shared" si="9"/>
        <v>4</v>
      </c>
      <c r="F232" s="22">
        <v>1</v>
      </c>
      <c r="G232" s="22">
        <v>4</v>
      </c>
      <c r="H232" s="23">
        <f t="shared" si="10"/>
        <v>6.729166666666667</v>
      </c>
      <c r="I232" s="24">
        <f t="shared" si="11"/>
        <v>0.79166666666666663</v>
      </c>
    </row>
    <row r="233" spans="1:9" x14ac:dyDescent="0.3">
      <c r="A233" s="22" t="str">
        <v>EMP231</v>
      </c>
      <c r="B233" s="22" t="str">
        <v>Ganesh R</v>
      </c>
      <c r="C233" s="22" t="str">
        <f>_xlfn.XLOOKUP('MONTHLY ATTENDANCE SUMMARY'!A233,'EMPLOYEE MASTER DATA'!A234:A533,'EMPLOYEE MASTER DATA'!D234:D533)</f>
        <v>Maintenance</v>
      </c>
      <c r="D233" s="22">
        <v>19</v>
      </c>
      <c r="E233" s="22">
        <f t="shared" si="9"/>
        <v>4</v>
      </c>
      <c r="F233" s="22">
        <v>1</v>
      </c>
      <c r="G233" s="22">
        <v>4</v>
      </c>
      <c r="H233" s="23">
        <f t="shared" si="10"/>
        <v>6.729166666666667</v>
      </c>
      <c r="I233" s="24">
        <f t="shared" si="11"/>
        <v>0.79166666666666663</v>
      </c>
    </row>
    <row r="234" spans="1:9" x14ac:dyDescent="0.3">
      <c r="A234" s="22" t="str">
        <v>EMP232</v>
      </c>
      <c r="B234" s="22" t="str">
        <v>Dinesh M</v>
      </c>
      <c r="C234" s="22" t="str">
        <f>_xlfn.XLOOKUP('MONTHLY ATTENDANCE SUMMARY'!A234,'EMPLOYEE MASTER DATA'!A235:A534,'EMPLOYEE MASTER DATA'!D235:D534)</f>
        <v>Customer Relationship</v>
      </c>
      <c r="D234" s="22">
        <v>22</v>
      </c>
      <c r="E234" s="22">
        <f t="shared" si="9"/>
        <v>0</v>
      </c>
      <c r="F234" s="22">
        <v>2</v>
      </c>
      <c r="G234" s="22">
        <v>4</v>
      </c>
      <c r="H234" s="23">
        <f t="shared" si="10"/>
        <v>7.791666666666667</v>
      </c>
      <c r="I234" s="24">
        <f t="shared" si="11"/>
        <v>0.91666666666666663</v>
      </c>
    </row>
    <row r="235" spans="1:9" x14ac:dyDescent="0.3">
      <c r="A235" s="22" t="str">
        <v>EMP233</v>
      </c>
      <c r="B235" s="22" t="str">
        <v>Praveen Murugan</v>
      </c>
      <c r="C235" s="22" t="str">
        <f>_xlfn.XLOOKUP('MONTHLY ATTENDANCE SUMMARY'!A235,'EMPLOYEE MASTER DATA'!A236:A535,'EMPLOYEE MASTER DATA'!D236:D535)</f>
        <v>Procurement</v>
      </c>
      <c r="D235" s="22">
        <v>19</v>
      </c>
      <c r="E235" s="22">
        <f t="shared" si="9"/>
        <v>4</v>
      </c>
      <c r="F235" s="22">
        <v>1</v>
      </c>
      <c r="G235" s="22">
        <v>4</v>
      </c>
      <c r="H235" s="23">
        <f t="shared" si="10"/>
        <v>6.729166666666667</v>
      </c>
      <c r="I235" s="24">
        <f t="shared" si="11"/>
        <v>0.79166666666666663</v>
      </c>
    </row>
    <row r="236" spans="1:9" x14ac:dyDescent="0.3">
      <c r="A236" s="22" t="str">
        <v>EMP234</v>
      </c>
      <c r="B236" s="22" t="str">
        <v>Lokesh Selvam</v>
      </c>
      <c r="C236" s="22" t="str">
        <f>_xlfn.XLOOKUP('MONTHLY ATTENDANCE SUMMARY'!A236,'EMPLOYEE MASTER DATA'!A237:A536,'EMPLOYEE MASTER DATA'!D237:D536)</f>
        <v>Back End</v>
      </c>
      <c r="D236" s="22">
        <v>21</v>
      </c>
      <c r="E236" s="22">
        <f t="shared" si="9"/>
        <v>1</v>
      </c>
      <c r="F236" s="22">
        <v>2</v>
      </c>
      <c r="G236" s="22">
        <v>4</v>
      </c>
      <c r="H236" s="23">
        <f t="shared" si="10"/>
        <v>7.4375</v>
      </c>
      <c r="I236" s="24">
        <f t="shared" si="11"/>
        <v>0.875</v>
      </c>
    </row>
    <row r="237" spans="1:9" x14ac:dyDescent="0.3">
      <c r="A237" s="22" t="str">
        <v>EMP235</v>
      </c>
      <c r="B237" s="22" t="str">
        <v>Vinoth Babu</v>
      </c>
      <c r="C237" s="22" t="str">
        <f>_xlfn.XLOOKUP('MONTHLY ATTENDANCE SUMMARY'!A237,'EMPLOYEE MASTER DATA'!A238:A537,'EMPLOYEE MASTER DATA'!D238:D537)</f>
        <v>Front Office</v>
      </c>
      <c r="D237" s="22">
        <v>20</v>
      </c>
      <c r="E237" s="22">
        <f t="shared" si="9"/>
        <v>3</v>
      </c>
      <c r="F237" s="22">
        <v>1</v>
      </c>
      <c r="G237" s="22">
        <v>4</v>
      </c>
      <c r="H237" s="23">
        <f t="shared" si="10"/>
        <v>7.0833333333333339</v>
      </c>
      <c r="I237" s="24">
        <f t="shared" si="11"/>
        <v>0.83333333333333337</v>
      </c>
    </row>
    <row r="238" spans="1:9" x14ac:dyDescent="0.3">
      <c r="A238" s="22" t="str">
        <v>EMP236</v>
      </c>
      <c r="B238" s="22" t="str">
        <v>Mohan T</v>
      </c>
      <c r="C238" s="22" t="str">
        <f>_xlfn.XLOOKUP('MONTHLY ATTENDANCE SUMMARY'!A238,'EMPLOYEE MASTER DATA'!A239:A538,'EMPLOYEE MASTER DATA'!D239:D538)</f>
        <v>Sales</v>
      </c>
      <c r="D238" s="22">
        <v>20</v>
      </c>
      <c r="E238" s="22">
        <f t="shared" si="9"/>
        <v>2</v>
      </c>
      <c r="F238" s="22">
        <v>2</v>
      </c>
      <c r="G238" s="22">
        <v>4</v>
      </c>
      <c r="H238" s="23">
        <f t="shared" si="10"/>
        <v>7.0833333333333339</v>
      </c>
      <c r="I238" s="24">
        <f t="shared" si="11"/>
        <v>0.83333333333333337</v>
      </c>
    </row>
    <row r="239" spans="1:9" x14ac:dyDescent="0.3">
      <c r="A239" s="22" t="str">
        <v>EMP237</v>
      </c>
      <c r="B239" s="22" t="str">
        <v>Karthik N</v>
      </c>
      <c r="C239" s="22" t="str">
        <f>_xlfn.XLOOKUP('MONTHLY ATTENDANCE SUMMARY'!A239,'EMPLOYEE MASTER DATA'!A240:A539,'EMPLOYEE MASTER DATA'!D240:D539)</f>
        <v>HR</v>
      </c>
      <c r="D239" s="22">
        <v>18</v>
      </c>
      <c r="E239" s="22">
        <f t="shared" si="9"/>
        <v>4</v>
      </c>
      <c r="F239" s="22">
        <v>2</v>
      </c>
      <c r="G239" s="22">
        <v>4</v>
      </c>
      <c r="H239" s="23">
        <f t="shared" si="10"/>
        <v>6.375</v>
      </c>
      <c r="I239" s="24">
        <f t="shared" si="11"/>
        <v>0.75</v>
      </c>
    </row>
    <row r="240" spans="1:9" x14ac:dyDescent="0.3">
      <c r="A240" s="22" t="str">
        <v>EMP238</v>
      </c>
      <c r="B240" s="22" t="str">
        <v>Nithin Raja</v>
      </c>
      <c r="C240" s="22" t="str">
        <f>_xlfn.XLOOKUP('MONTHLY ATTENDANCE SUMMARY'!A240,'EMPLOYEE MASTER DATA'!A241:A540,'EMPLOYEE MASTER DATA'!D241:D540)</f>
        <v>Customer Relationship</v>
      </c>
      <c r="D240" s="22">
        <v>19</v>
      </c>
      <c r="E240" s="22">
        <f t="shared" si="9"/>
        <v>4</v>
      </c>
      <c r="F240" s="22">
        <v>1</v>
      </c>
      <c r="G240" s="22">
        <v>4</v>
      </c>
      <c r="H240" s="23">
        <f t="shared" si="10"/>
        <v>6.729166666666667</v>
      </c>
      <c r="I240" s="24">
        <f t="shared" si="11"/>
        <v>0.79166666666666663</v>
      </c>
    </row>
    <row r="241" spans="1:9" x14ac:dyDescent="0.3">
      <c r="A241" s="22" t="str">
        <v>EMP239</v>
      </c>
      <c r="B241" s="22" t="str">
        <v>Mohan Prasad</v>
      </c>
      <c r="C241" s="22" t="str">
        <f>_xlfn.XLOOKUP('MONTHLY ATTENDANCE SUMMARY'!A241,'EMPLOYEE MASTER DATA'!A242:A541,'EMPLOYEE MASTER DATA'!D242:D541)</f>
        <v>Front Office</v>
      </c>
      <c r="D241" s="22">
        <v>19</v>
      </c>
      <c r="E241" s="22">
        <f t="shared" si="9"/>
        <v>3</v>
      </c>
      <c r="F241" s="22">
        <v>2</v>
      </c>
      <c r="G241" s="22">
        <v>4</v>
      </c>
      <c r="H241" s="23">
        <f t="shared" si="10"/>
        <v>6.729166666666667</v>
      </c>
      <c r="I241" s="24">
        <f t="shared" si="11"/>
        <v>0.79166666666666663</v>
      </c>
    </row>
    <row r="242" spans="1:9" x14ac:dyDescent="0.3">
      <c r="A242" s="22" t="str">
        <v>EMP240</v>
      </c>
      <c r="B242" s="22" t="str">
        <v>Naveen K</v>
      </c>
      <c r="C242" s="22" t="str">
        <f>_xlfn.XLOOKUP('MONTHLY ATTENDANCE SUMMARY'!A242,'EMPLOYEE MASTER DATA'!A243:A542,'EMPLOYEE MASTER DATA'!D243:D542)</f>
        <v>Sales</v>
      </c>
      <c r="D242" s="22">
        <v>22</v>
      </c>
      <c r="E242" s="22">
        <f t="shared" si="9"/>
        <v>1</v>
      </c>
      <c r="F242" s="22">
        <v>1</v>
      </c>
      <c r="G242" s="22">
        <v>4</v>
      </c>
      <c r="H242" s="23">
        <f t="shared" si="10"/>
        <v>7.791666666666667</v>
      </c>
      <c r="I242" s="24">
        <f t="shared" si="11"/>
        <v>0.91666666666666663</v>
      </c>
    </row>
    <row r="243" spans="1:9" x14ac:dyDescent="0.3">
      <c r="A243" s="22" t="str">
        <v>EMP241</v>
      </c>
      <c r="B243" s="22" t="str">
        <v>Ajay M</v>
      </c>
      <c r="C243" s="22" t="str">
        <f>_xlfn.XLOOKUP('MONTHLY ATTENDANCE SUMMARY'!A243,'EMPLOYEE MASTER DATA'!A244:A543,'EMPLOYEE MASTER DATA'!D244:D543)</f>
        <v>Sales</v>
      </c>
      <c r="D243" s="22">
        <v>21</v>
      </c>
      <c r="E243" s="22">
        <f t="shared" si="9"/>
        <v>1</v>
      </c>
      <c r="F243" s="22">
        <v>2</v>
      </c>
      <c r="G243" s="22">
        <v>4</v>
      </c>
      <c r="H243" s="23">
        <f t="shared" si="10"/>
        <v>7.4375</v>
      </c>
      <c r="I243" s="24">
        <f t="shared" si="11"/>
        <v>0.875</v>
      </c>
    </row>
    <row r="244" spans="1:9" x14ac:dyDescent="0.3">
      <c r="A244" s="22" t="str">
        <v>EMP242</v>
      </c>
      <c r="B244" s="22" t="str">
        <v>Suresh Kannan</v>
      </c>
      <c r="C244" s="22" t="str">
        <f>_xlfn.XLOOKUP('MONTHLY ATTENDANCE SUMMARY'!A244,'EMPLOYEE MASTER DATA'!A245:A544,'EMPLOYEE MASTER DATA'!D245:D544)</f>
        <v>Production</v>
      </c>
      <c r="D244" s="22">
        <v>10</v>
      </c>
      <c r="E244" s="22">
        <f t="shared" si="9"/>
        <v>13</v>
      </c>
      <c r="F244" s="22">
        <v>1</v>
      </c>
      <c r="G244" s="22">
        <v>4</v>
      </c>
      <c r="H244" s="23">
        <f t="shared" si="10"/>
        <v>3.541666666666667</v>
      </c>
      <c r="I244" s="24">
        <f t="shared" si="11"/>
        <v>0.41666666666666669</v>
      </c>
    </row>
    <row r="245" spans="1:9" x14ac:dyDescent="0.3">
      <c r="A245" s="22" t="str">
        <v>EMP243</v>
      </c>
      <c r="B245" s="22" t="str">
        <v>Naveen Raja</v>
      </c>
      <c r="C245" s="22" t="str">
        <f>_xlfn.XLOOKUP('MONTHLY ATTENDANCE SUMMARY'!A245,'EMPLOYEE MASTER DATA'!A246:A545,'EMPLOYEE MASTER DATA'!D246:D545)</f>
        <v>Admin</v>
      </c>
      <c r="D245" s="22">
        <v>19</v>
      </c>
      <c r="E245" s="22">
        <f t="shared" si="9"/>
        <v>3</v>
      </c>
      <c r="F245" s="22">
        <v>2</v>
      </c>
      <c r="G245" s="22">
        <v>4</v>
      </c>
      <c r="H245" s="23">
        <f t="shared" si="10"/>
        <v>6.729166666666667</v>
      </c>
      <c r="I245" s="24">
        <f t="shared" si="11"/>
        <v>0.79166666666666663</v>
      </c>
    </row>
    <row r="246" spans="1:9" x14ac:dyDescent="0.3">
      <c r="A246" s="22" t="str">
        <v>EMP244</v>
      </c>
      <c r="B246" s="22" t="str">
        <v>Praveen T</v>
      </c>
      <c r="C246" s="22" t="str">
        <f>_xlfn.XLOOKUP('MONTHLY ATTENDANCE SUMMARY'!A246,'EMPLOYEE MASTER DATA'!A247:A546,'EMPLOYEE MASTER DATA'!D247:D546)</f>
        <v>Business Development</v>
      </c>
      <c r="D246" s="22">
        <v>20</v>
      </c>
      <c r="E246" s="22">
        <f t="shared" si="9"/>
        <v>2</v>
      </c>
      <c r="F246" s="22">
        <v>2</v>
      </c>
      <c r="G246" s="22">
        <v>4</v>
      </c>
      <c r="H246" s="23">
        <f t="shared" si="10"/>
        <v>7.0833333333333339</v>
      </c>
      <c r="I246" s="24">
        <f t="shared" si="11"/>
        <v>0.83333333333333337</v>
      </c>
    </row>
    <row r="247" spans="1:9" x14ac:dyDescent="0.3">
      <c r="A247" s="22" t="str">
        <v>EMP245</v>
      </c>
      <c r="B247" s="22" t="str">
        <v>Ajay P</v>
      </c>
      <c r="C247" s="22" t="str">
        <f>_xlfn.XLOOKUP('MONTHLY ATTENDANCE SUMMARY'!A247,'EMPLOYEE MASTER DATA'!A248:A547,'EMPLOYEE MASTER DATA'!D248:D547)</f>
        <v>Admin</v>
      </c>
      <c r="D247" s="22">
        <v>22</v>
      </c>
      <c r="E247" s="22">
        <f t="shared" si="9"/>
        <v>0</v>
      </c>
      <c r="F247" s="22">
        <v>2</v>
      </c>
      <c r="G247" s="22">
        <v>4</v>
      </c>
      <c r="H247" s="23">
        <f t="shared" si="10"/>
        <v>7.791666666666667</v>
      </c>
      <c r="I247" s="24">
        <f t="shared" si="11"/>
        <v>0.91666666666666663</v>
      </c>
    </row>
    <row r="248" spans="1:9" x14ac:dyDescent="0.3">
      <c r="A248" s="22" t="str">
        <v>EMP246</v>
      </c>
      <c r="B248" s="22" t="str">
        <v>Bharath Raja</v>
      </c>
      <c r="C248" s="22" t="str">
        <f>_xlfn.XLOOKUP('MONTHLY ATTENDANCE SUMMARY'!A248,'EMPLOYEE MASTER DATA'!A249:A548,'EMPLOYEE MASTER DATA'!D249:D548)</f>
        <v>Production</v>
      </c>
      <c r="D248" s="22">
        <v>19</v>
      </c>
      <c r="E248" s="22">
        <f t="shared" si="9"/>
        <v>4</v>
      </c>
      <c r="F248" s="22">
        <v>1</v>
      </c>
      <c r="G248" s="22">
        <v>4</v>
      </c>
      <c r="H248" s="23">
        <f t="shared" si="10"/>
        <v>6.729166666666667</v>
      </c>
      <c r="I248" s="24">
        <f t="shared" si="11"/>
        <v>0.79166666666666663</v>
      </c>
    </row>
    <row r="249" spans="1:9" x14ac:dyDescent="0.3">
      <c r="A249" s="22" t="str">
        <v>EMP247</v>
      </c>
      <c r="B249" s="22" t="str">
        <v>Nithin Selvam</v>
      </c>
      <c r="C249" s="22" t="str">
        <f>_xlfn.XLOOKUP('MONTHLY ATTENDANCE SUMMARY'!A249,'EMPLOYEE MASTER DATA'!A250:A549,'EMPLOYEE MASTER DATA'!D250:D549)</f>
        <v>Customer Relationship</v>
      </c>
      <c r="D249" s="22">
        <v>21</v>
      </c>
      <c r="E249" s="22">
        <f t="shared" si="9"/>
        <v>2</v>
      </c>
      <c r="F249" s="22">
        <v>1</v>
      </c>
      <c r="G249" s="22">
        <v>4</v>
      </c>
      <c r="H249" s="23">
        <f t="shared" si="10"/>
        <v>7.4375</v>
      </c>
      <c r="I249" s="24">
        <f t="shared" si="11"/>
        <v>0.875</v>
      </c>
    </row>
    <row r="250" spans="1:9" x14ac:dyDescent="0.3">
      <c r="A250" s="22" t="str">
        <v>EMP248</v>
      </c>
      <c r="B250" s="22" t="str">
        <v>Ramesh Raj</v>
      </c>
      <c r="C250" s="22" t="str">
        <f>_xlfn.XLOOKUP('MONTHLY ATTENDANCE SUMMARY'!A250,'EMPLOYEE MASTER DATA'!A251:A550,'EMPLOYEE MASTER DATA'!D251:D550)</f>
        <v>Procurement</v>
      </c>
      <c r="D250" s="22">
        <v>18</v>
      </c>
      <c r="E250" s="22">
        <f t="shared" si="9"/>
        <v>5</v>
      </c>
      <c r="F250" s="22">
        <v>1</v>
      </c>
      <c r="G250" s="22">
        <v>4</v>
      </c>
      <c r="H250" s="23">
        <f t="shared" si="10"/>
        <v>6.375</v>
      </c>
      <c r="I250" s="24">
        <f t="shared" si="11"/>
        <v>0.75</v>
      </c>
    </row>
    <row r="251" spans="1:9" x14ac:dyDescent="0.3">
      <c r="A251" s="22" t="str">
        <v>EMP249</v>
      </c>
      <c r="B251" s="22" t="str">
        <v>Yogesh Selvam</v>
      </c>
      <c r="C251" s="22" t="str">
        <f>_xlfn.XLOOKUP('MONTHLY ATTENDANCE SUMMARY'!A251,'EMPLOYEE MASTER DATA'!A252:A551,'EMPLOYEE MASTER DATA'!D252:D551)</f>
        <v>Front Office</v>
      </c>
      <c r="D251" s="22">
        <v>18</v>
      </c>
      <c r="E251" s="22">
        <f t="shared" si="9"/>
        <v>5</v>
      </c>
      <c r="F251" s="22">
        <v>1</v>
      </c>
      <c r="G251" s="22">
        <v>4</v>
      </c>
      <c r="H251" s="23">
        <f t="shared" si="10"/>
        <v>6.375</v>
      </c>
      <c r="I251" s="24">
        <f t="shared" si="11"/>
        <v>0.75</v>
      </c>
    </row>
    <row r="252" spans="1:9" x14ac:dyDescent="0.3">
      <c r="A252" s="22" t="str">
        <v>EMP250</v>
      </c>
      <c r="B252" s="22" t="str">
        <v>Bharath T</v>
      </c>
      <c r="C252" s="22" t="str">
        <f>_xlfn.XLOOKUP('MONTHLY ATTENDANCE SUMMARY'!A252,'EMPLOYEE MASTER DATA'!A253:A552,'EMPLOYEE MASTER DATA'!D253:D552)</f>
        <v>Maintenance</v>
      </c>
      <c r="D252" s="22">
        <v>19</v>
      </c>
      <c r="E252" s="22">
        <f t="shared" si="9"/>
        <v>4</v>
      </c>
      <c r="F252" s="22">
        <v>1</v>
      </c>
      <c r="G252" s="22">
        <v>4</v>
      </c>
      <c r="H252" s="23">
        <f t="shared" si="10"/>
        <v>6.729166666666667</v>
      </c>
      <c r="I252" s="24">
        <f t="shared" si="11"/>
        <v>0.79166666666666663</v>
      </c>
    </row>
    <row r="253" spans="1:9" x14ac:dyDescent="0.3">
      <c r="A253" s="22" t="str">
        <v>EMP251</v>
      </c>
      <c r="B253" s="22" t="str">
        <v>Harish Raj</v>
      </c>
      <c r="C253" s="22" t="str">
        <f>_xlfn.XLOOKUP('MONTHLY ATTENDANCE SUMMARY'!A253,'EMPLOYEE MASTER DATA'!A254:A553,'EMPLOYEE MASTER DATA'!D254:D553)</f>
        <v>Sales</v>
      </c>
      <c r="D253" s="22">
        <v>22</v>
      </c>
      <c r="E253" s="22">
        <f t="shared" si="9"/>
        <v>0</v>
      </c>
      <c r="F253" s="22">
        <v>2</v>
      </c>
      <c r="G253" s="22">
        <v>4</v>
      </c>
      <c r="H253" s="23">
        <f t="shared" si="10"/>
        <v>7.791666666666667</v>
      </c>
      <c r="I253" s="24">
        <f t="shared" si="11"/>
        <v>0.91666666666666663</v>
      </c>
    </row>
    <row r="254" spans="1:9" x14ac:dyDescent="0.3">
      <c r="A254" s="22" t="str">
        <v>EMP252</v>
      </c>
      <c r="B254" s="22" t="str">
        <v>Yuvaraj Selvam</v>
      </c>
      <c r="C254" s="22" t="str">
        <f>_xlfn.XLOOKUP('MONTHLY ATTENDANCE SUMMARY'!A254,'EMPLOYEE MASTER DATA'!A255:A554,'EMPLOYEE MASTER DATA'!D255:D554)</f>
        <v>Maintenance</v>
      </c>
      <c r="D254" s="22">
        <v>22</v>
      </c>
      <c r="E254" s="22">
        <f t="shared" si="9"/>
        <v>1</v>
      </c>
      <c r="F254" s="22">
        <v>1</v>
      </c>
      <c r="G254" s="22">
        <v>4</v>
      </c>
      <c r="H254" s="23">
        <f t="shared" si="10"/>
        <v>7.791666666666667</v>
      </c>
      <c r="I254" s="24">
        <f t="shared" si="11"/>
        <v>0.91666666666666663</v>
      </c>
    </row>
    <row r="255" spans="1:9" x14ac:dyDescent="0.3">
      <c r="A255" s="22" t="str">
        <v>EMP253</v>
      </c>
      <c r="B255" s="22" t="str">
        <v>Vinoth Raj</v>
      </c>
      <c r="C255" s="22" t="str">
        <f>_xlfn.XLOOKUP('MONTHLY ATTENDANCE SUMMARY'!A255,'EMPLOYEE MASTER DATA'!A256:A555,'EMPLOYEE MASTER DATA'!D256:D555)</f>
        <v>IT</v>
      </c>
      <c r="D255" s="22">
        <v>18</v>
      </c>
      <c r="E255" s="22">
        <f t="shared" si="9"/>
        <v>5</v>
      </c>
      <c r="F255" s="22">
        <v>1</v>
      </c>
      <c r="G255" s="22">
        <v>4</v>
      </c>
      <c r="H255" s="23">
        <f t="shared" si="10"/>
        <v>6.375</v>
      </c>
      <c r="I255" s="24">
        <f t="shared" si="11"/>
        <v>0.75</v>
      </c>
    </row>
    <row r="256" spans="1:9" x14ac:dyDescent="0.3">
      <c r="A256" s="22" t="str">
        <v>EMP254</v>
      </c>
      <c r="B256" s="22" t="str">
        <v>Nithin Prasad</v>
      </c>
      <c r="C256" s="22" t="str">
        <f>_xlfn.XLOOKUP('MONTHLY ATTENDANCE SUMMARY'!A256,'EMPLOYEE MASTER DATA'!A257:A556,'EMPLOYEE MASTER DATA'!D257:D556)</f>
        <v>Sales</v>
      </c>
      <c r="D256" s="22">
        <v>20</v>
      </c>
      <c r="E256" s="22">
        <f t="shared" si="9"/>
        <v>2</v>
      </c>
      <c r="F256" s="22">
        <v>2</v>
      </c>
      <c r="G256" s="22">
        <v>4</v>
      </c>
      <c r="H256" s="23">
        <f t="shared" si="10"/>
        <v>7.0833333333333339</v>
      </c>
      <c r="I256" s="24">
        <f t="shared" si="11"/>
        <v>0.83333333333333337</v>
      </c>
    </row>
    <row r="257" spans="1:9" x14ac:dyDescent="0.3">
      <c r="A257" s="22" t="str">
        <v>EMP255</v>
      </c>
      <c r="B257" s="22" t="str">
        <v>Manoj Kannan</v>
      </c>
      <c r="C257" s="22" t="str">
        <f>_xlfn.XLOOKUP('MONTHLY ATTENDANCE SUMMARY'!A257,'EMPLOYEE MASTER DATA'!A258:A557,'EMPLOYEE MASTER DATA'!D258:D557)</f>
        <v>Maintenance</v>
      </c>
      <c r="D257" s="22">
        <v>22</v>
      </c>
      <c r="E257" s="22">
        <f t="shared" si="9"/>
        <v>1</v>
      </c>
      <c r="F257" s="22">
        <v>1</v>
      </c>
      <c r="G257" s="22">
        <v>4</v>
      </c>
      <c r="H257" s="23">
        <f t="shared" si="10"/>
        <v>7.791666666666667</v>
      </c>
      <c r="I257" s="24">
        <f t="shared" si="11"/>
        <v>0.91666666666666663</v>
      </c>
    </row>
    <row r="258" spans="1:9" x14ac:dyDescent="0.3">
      <c r="A258" s="22" t="str">
        <v>EMP256</v>
      </c>
      <c r="B258" s="22" t="str">
        <v>Vijay Prasad</v>
      </c>
      <c r="C258" s="22" t="str">
        <f>_xlfn.XLOOKUP('MONTHLY ATTENDANCE SUMMARY'!A258,'EMPLOYEE MASTER DATA'!A259:A558,'EMPLOYEE MASTER DATA'!D259:D558)</f>
        <v>Customer Relationship</v>
      </c>
      <c r="D258" s="22">
        <v>21</v>
      </c>
      <c r="E258" s="22">
        <f t="shared" si="9"/>
        <v>1</v>
      </c>
      <c r="F258" s="22">
        <v>2</v>
      </c>
      <c r="G258" s="22">
        <v>4</v>
      </c>
      <c r="H258" s="23">
        <f t="shared" si="10"/>
        <v>7.4375</v>
      </c>
      <c r="I258" s="24">
        <f t="shared" si="11"/>
        <v>0.875</v>
      </c>
    </row>
    <row r="259" spans="1:9" x14ac:dyDescent="0.3">
      <c r="A259" s="22" t="str">
        <v>EMP257</v>
      </c>
      <c r="B259" s="22" t="str">
        <v>Aravind Prasad</v>
      </c>
      <c r="C259" s="22" t="str">
        <f>_xlfn.XLOOKUP('MONTHLY ATTENDANCE SUMMARY'!A259,'EMPLOYEE MASTER DATA'!A260:A559,'EMPLOYEE MASTER DATA'!D260:D559)</f>
        <v>Customer Relationship</v>
      </c>
      <c r="D259" s="22">
        <v>22</v>
      </c>
      <c r="E259" s="22">
        <f t="shared" ref="E259:E302" si="12">MAX(0,24-(D259+F259))</f>
        <v>1</v>
      </c>
      <c r="F259" s="22">
        <v>1</v>
      </c>
      <c r="G259" s="22">
        <v>4</v>
      </c>
      <c r="H259" s="23">
        <f t="shared" ref="H259:H302" si="13">D259*TIME(8,30,0)</f>
        <v>7.791666666666667</v>
      </c>
      <c r="I259" s="24">
        <f t="shared" ref="I259:I302" si="14">IF(D259+E259+F259=0,0,D259/(D259+E259+F259))</f>
        <v>0.91666666666666663</v>
      </c>
    </row>
    <row r="260" spans="1:9" x14ac:dyDescent="0.3">
      <c r="A260" s="22" t="str">
        <v>EMP258</v>
      </c>
      <c r="B260" s="22" t="str">
        <v>Madhan Kannan</v>
      </c>
      <c r="C260" s="22" t="str">
        <f>_xlfn.XLOOKUP('MONTHLY ATTENDANCE SUMMARY'!A260,'EMPLOYEE MASTER DATA'!A261:A560,'EMPLOYEE MASTER DATA'!D261:D560)</f>
        <v>Sales</v>
      </c>
      <c r="D260" s="22">
        <v>19</v>
      </c>
      <c r="E260" s="22">
        <f t="shared" si="12"/>
        <v>4</v>
      </c>
      <c r="F260" s="22">
        <v>1</v>
      </c>
      <c r="G260" s="22">
        <v>4</v>
      </c>
      <c r="H260" s="23">
        <f t="shared" si="13"/>
        <v>6.729166666666667</v>
      </c>
      <c r="I260" s="24">
        <f t="shared" si="14"/>
        <v>0.79166666666666663</v>
      </c>
    </row>
    <row r="261" spans="1:9" x14ac:dyDescent="0.3">
      <c r="A261" s="22" t="str">
        <v>EMP259</v>
      </c>
      <c r="B261" s="22" t="str">
        <v>Yuvaraj R</v>
      </c>
      <c r="C261" s="22" t="str">
        <f>_xlfn.XLOOKUP('MONTHLY ATTENDANCE SUMMARY'!A261,'EMPLOYEE MASTER DATA'!A262:A561,'EMPLOYEE MASTER DATA'!D262:D561)</f>
        <v>Admin</v>
      </c>
      <c r="D261" s="22">
        <v>19</v>
      </c>
      <c r="E261" s="22">
        <f t="shared" si="12"/>
        <v>3</v>
      </c>
      <c r="F261" s="22">
        <v>2</v>
      </c>
      <c r="G261" s="22">
        <v>4</v>
      </c>
      <c r="H261" s="23">
        <f t="shared" si="13"/>
        <v>6.729166666666667</v>
      </c>
      <c r="I261" s="24">
        <f t="shared" si="14"/>
        <v>0.79166666666666663</v>
      </c>
    </row>
    <row r="262" spans="1:9" x14ac:dyDescent="0.3">
      <c r="A262" s="22" t="str">
        <v>EMP260</v>
      </c>
      <c r="B262" s="22" t="str">
        <v>Lokesh Babu</v>
      </c>
      <c r="C262" s="22" t="str">
        <f>_xlfn.XLOOKUP('MONTHLY ATTENDANCE SUMMARY'!A262,'EMPLOYEE MASTER DATA'!A263:A562,'EMPLOYEE MASTER DATA'!D263:D562)</f>
        <v>Sales</v>
      </c>
      <c r="D262" s="22">
        <v>22</v>
      </c>
      <c r="E262" s="22">
        <f t="shared" si="12"/>
        <v>0</v>
      </c>
      <c r="F262" s="22">
        <v>2</v>
      </c>
      <c r="G262" s="22">
        <v>4</v>
      </c>
      <c r="H262" s="23">
        <f t="shared" si="13"/>
        <v>7.791666666666667</v>
      </c>
      <c r="I262" s="24">
        <f t="shared" si="14"/>
        <v>0.91666666666666663</v>
      </c>
    </row>
    <row r="263" spans="1:9" x14ac:dyDescent="0.3">
      <c r="A263" s="22" t="str">
        <v>EMP261</v>
      </c>
      <c r="B263" s="22" t="str">
        <v>Mohan Raja</v>
      </c>
      <c r="C263" s="22" t="str">
        <f>_xlfn.XLOOKUP('MONTHLY ATTENDANCE SUMMARY'!A263,'EMPLOYEE MASTER DATA'!A264:A563,'EMPLOYEE MASTER DATA'!D264:D563)</f>
        <v>Business Development</v>
      </c>
      <c r="D263" s="22">
        <v>18</v>
      </c>
      <c r="E263" s="22">
        <f t="shared" si="12"/>
        <v>4</v>
      </c>
      <c r="F263" s="22">
        <v>2</v>
      </c>
      <c r="G263" s="22">
        <v>4</v>
      </c>
      <c r="H263" s="23">
        <f t="shared" si="13"/>
        <v>6.375</v>
      </c>
      <c r="I263" s="24">
        <f t="shared" si="14"/>
        <v>0.75</v>
      </c>
    </row>
    <row r="264" spans="1:9" x14ac:dyDescent="0.3">
      <c r="A264" s="22" t="str">
        <v>EMP262</v>
      </c>
      <c r="B264" s="22" t="str">
        <v>Ganesh G</v>
      </c>
      <c r="C264" s="22" t="str">
        <f>_xlfn.XLOOKUP('MONTHLY ATTENDANCE SUMMARY'!A264,'EMPLOYEE MASTER DATA'!A265:A564,'EMPLOYEE MASTER DATA'!D265:D564)</f>
        <v>HR</v>
      </c>
      <c r="D264" s="22">
        <v>20</v>
      </c>
      <c r="E264" s="22">
        <f t="shared" si="12"/>
        <v>2</v>
      </c>
      <c r="F264" s="22">
        <v>2</v>
      </c>
      <c r="G264" s="22">
        <v>4</v>
      </c>
      <c r="H264" s="23">
        <f t="shared" si="13"/>
        <v>7.0833333333333339</v>
      </c>
      <c r="I264" s="24">
        <f t="shared" si="14"/>
        <v>0.83333333333333337</v>
      </c>
    </row>
    <row r="265" spans="1:9" x14ac:dyDescent="0.3">
      <c r="A265" s="22" t="str">
        <v>EMP263</v>
      </c>
      <c r="B265" s="22" t="str">
        <v>Bharath Prasad</v>
      </c>
      <c r="C265" s="22" t="str">
        <f>_xlfn.XLOOKUP('MONTHLY ATTENDANCE SUMMARY'!A265,'EMPLOYEE MASTER DATA'!A266:A565,'EMPLOYEE MASTER DATA'!D266:D565)</f>
        <v>Accounts</v>
      </c>
      <c r="D265" s="22">
        <v>19</v>
      </c>
      <c r="E265" s="22">
        <f t="shared" si="12"/>
        <v>4</v>
      </c>
      <c r="F265" s="22">
        <v>1</v>
      </c>
      <c r="G265" s="22">
        <v>4</v>
      </c>
      <c r="H265" s="23">
        <f t="shared" si="13"/>
        <v>6.729166666666667</v>
      </c>
      <c r="I265" s="24">
        <f t="shared" si="14"/>
        <v>0.79166666666666663</v>
      </c>
    </row>
    <row r="266" spans="1:9" x14ac:dyDescent="0.3">
      <c r="A266" s="22" t="str">
        <v>EMP264</v>
      </c>
      <c r="B266" s="22" t="str">
        <v>Deepak T</v>
      </c>
      <c r="C266" s="22" t="str">
        <f>_xlfn.XLOOKUP('MONTHLY ATTENDANCE SUMMARY'!A266,'EMPLOYEE MASTER DATA'!A267:A566,'EMPLOYEE MASTER DATA'!D267:D566)</f>
        <v>Admin</v>
      </c>
      <c r="D266" s="22">
        <v>22</v>
      </c>
      <c r="E266" s="22">
        <f t="shared" si="12"/>
        <v>0</v>
      </c>
      <c r="F266" s="22">
        <v>2</v>
      </c>
      <c r="G266" s="22">
        <v>4</v>
      </c>
      <c r="H266" s="23">
        <f t="shared" si="13"/>
        <v>7.791666666666667</v>
      </c>
      <c r="I266" s="24">
        <f t="shared" si="14"/>
        <v>0.91666666666666663</v>
      </c>
    </row>
    <row r="267" spans="1:9" x14ac:dyDescent="0.3">
      <c r="A267" s="22" t="str">
        <v>EMP265</v>
      </c>
      <c r="B267" s="22" t="str">
        <v>Dinesh Babu</v>
      </c>
      <c r="C267" s="22" t="str">
        <f>_xlfn.XLOOKUP('MONTHLY ATTENDANCE SUMMARY'!A267,'EMPLOYEE MASTER DATA'!A268:A567,'EMPLOYEE MASTER DATA'!D268:D567)</f>
        <v>Sales</v>
      </c>
      <c r="D267" s="22">
        <v>21</v>
      </c>
      <c r="E267" s="22">
        <f t="shared" si="12"/>
        <v>2</v>
      </c>
      <c r="F267" s="22">
        <v>1</v>
      </c>
      <c r="G267" s="22">
        <v>4</v>
      </c>
      <c r="H267" s="23">
        <f t="shared" si="13"/>
        <v>7.4375</v>
      </c>
      <c r="I267" s="24">
        <f t="shared" si="14"/>
        <v>0.875</v>
      </c>
    </row>
    <row r="268" spans="1:9" x14ac:dyDescent="0.3">
      <c r="A268" s="22" t="str">
        <v>EMP266</v>
      </c>
      <c r="B268" s="22" t="str">
        <v>Yogesh Murugan</v>
      </c>
      <c r="C268" s="22" t="str">
        <f>_xlfn.XLOOKUP('MONTHLY ATTENDANCE SUMMARY'!A268,'EMPLOYEE MASTER DATA'!A269:A568,'EMPLOYEE MASTER DATA'!D269:D568)</f>
        <v>Customer Relationship</v>
      </c>
      <c r="D268" s="22">
        <v>18</v>
      </c>
      <c r="E268" s="22">
        <f t="shared" si="12"/>
        <v>4</v>
      </c>
      <c r="F268" s="22">
        <v>2</v>
      </c>
      <c r="G268" s="22">
        <v>4</v>
      </c>
      <c r="H268" s="23">
        <f t="shared" si="13"/>
        <v>6.375</v>
      </c>
      <c r="I268" s="24">
        <f t="shared" si="14"/>
        <v>0.75</v>
      </c>
    </row>
    <row r="269" spans="1:9" x14ac:dyDescent="0.3">
      <c r="A269" s="22" t="str">
        <v>EMP267</v>
      </c>
      <c r="B269" s="22" t="str">
        <v>Ajay T</v>
      </c>
      <c r="C269" s="22" t="str">
        <f>_xlfn.XLOOKUP('MONTHLY ATTENDANCE SUMMARY'!A269,'EMPLOYEE MASTER DATA'!A270:A569,'EMPLOYEE MASTER DATA'!D270:D569)</f>
        <v>Sales</v>
      </c>
      <c r="D269" s="22">
        <v>21</v>
      </c>
      <c r="E269" s="22">
        <f t="shared" si="12"/>
        <v>2</v>
      </c>
      <c r="F269" s="22">
        <v>1</v>
      </c>
      <c r="G269" s="22">
        <v>4</v>
      </c>
      <c r="H269" s="23">
        <f t="shared" si="13"/>
        <v>7.4375</v>
      </c>
      <c r="I269" s="24">
        <f t="shared" si="14"/>
        <v>0.875</v>
      </c>
    </row>
    <row r="270" spans="1:9" x14ac:dyDescent="0.3">
      <c r="A270" s="22" t="str">
        <v>EMP268</v>
      </c>
      <c r="B270" s="22" t="str">
        <v>Karthik Kannan</v>
      </c>
      <c r="C270" s="22" t="str">
        <f>_xlfn.XLOOKUP('MONTHLY ATTENDANCE SUMMARY'!A270,'EMPLOYEE MASTER DATA'!A271:A570,'EMPLOYEE MASTER DATA'!D271:D570)</f>
        <v>Maintenance</v>
      </c>
      <c r="D270" s="22">
        <v>18</v>
      </c>
      <c r="E270" s="22">
        <f t="shared" si="12"/>
        <v>5</v>
      </c>
      <c r="F270" s="22">
        <v>1</v>
      </c>
      <c r="G270" s="22">
        <v>4</v>
      </c>
      <c r="H270" s="23">
        <f t="shared" si="13"/>
        <v>6.375</v>
      </c>
      <c r="I270" s="24">
        <f t="shared" si="14"/>
        <v>0.75</v>
      </c>
    </row>
    <row r="271" spans="1:9" x14ac:dyDescent="0.3">
      <c r="A271" s="22" t="str">
        <v>EMP269</v>
      </c>
      <c r="B271" s="22" t="str">
        <v>Sanjay Narayanan</v>
      </c>
      <c r="C271" s="22" t="str">
        <f>_xlfn.XLOOKUP('MONTHLY ATTENDANCE SUMMARY'!A271,'EMPLOYEE MASTER DATA'!A272:A571,'EMPLOYEE MASTER DATA'!D272:D571)</f>
        <v>Production</v>
      </c>
      <c r="D271" s="22">
        <v>21</v>
      </c>
      <c r="E271" s="22">
        <f t="shared" si="12"/>
        <v>2</v>
      </c>
      <c r="F271" s="22">
        <v>1</v>
      </c>
      <c r="G271" s="22">
        <v>4</v>
      </c>
      <c r="H271" s="23">
        <f t="shared" si="13"/>
        <v>7.4375</v>
      </c>
      <c r="I271" s="24">
        <f t="shared" si="14"/>
        <v>0.875</v>
      </c>
    </row>
    <row r="272" spans="1:9" x14ac:dyDescent="0.3">
      <c r="A272" s="22" t="str">
        <v>EMP270</v>
      </c>
      <c r="B272" s="22" t="str">
        <v>Manoj V</v>
      </c>
      <c r="C272" s="22" t="str">
        <f>_xlfn.XLOOKUP('MONTHLY ATTENDANCE SUMMARY'!A272,'EMPLOYEE MASTER DATA'!A273:A572,'EMPLOYEE MASTER DATA'!D273:D572)</f>
        <v>IT</v>
      </c>
      <c r="D272" s="22">
        <v>19</v>
      </c>
      <c r="E272" s="22">
        <f t="shared" si="12"/>
        <v>3</v>
      </c>
      <c r="F272" s="22">
        <v>2</v>
      </c>
      <c r="G272" s="22">
        <v>4</v>
      </c>
      <c r="H272" s="23">
        <f t="shared" si="13"/>
        <v>6.729166666666667</v>
      </c>
      <c r="I272" s="24">
        <f t="shared" si="14"/>
        <v>0.79166666666666663</v>
      </c>
    </row>
    <row r="273" spans="1:9" x14ac:dyDescent="0.3">
      <c r="A273" s="22" t="str">
        <v>EMP271</v>
      </c>
      <c r="B273" s="22" t="str">
        <v>Ganesh Raja</v>
      </c>
      <c r="C273" s="22" t="str">
        <f>_xlfn.XLOOKUP('MONTHLY ATTENDANCE SUMMARY'!A273,'EMPLOYEE MASTER DATA'!A274:A573,'EMPLOYEE MASTER DATA'!D274:D573)</f>
        <v>Business Development</v>
      </c>
      <c r="D273" s="22">
        <v>22</v>
      </c>
      <c r="E273" s="22">
        <f t="shared" si="12"/>
        <v>1</v>
      </c>
      <c r="F273" s="22">
        <v>1</v>
      </c>
      <c r="G273" s="22">
        <v>4</v>
      </c>
      <c r="H273" s="23">
        <f t="shared" si="13"/>
        <v>7.791666666666667</v>
      </c>
      <c r="I273" s="24">
        <f t="shared" si="14"/>
        <v>0.91666666666666663</v>
      </c>
    </row>
    <row r="274" spans="1:9" x14ac:dyDescent="0.3">
      <c r="A274" s="22" t="str">
        <v>EMP272</v>
      </c>
      <c r="B274" s="22" t="str">
        <v>Bharath P</v>
      </c>
      <c r="C274" s="22" t="str">
        <f>_xlfn.XLOOKUP('MONTHLY ATTENDANCE SUMMARY'!A274,'EMPLOYEE MASTER DATA'!A275:A574,'EMPLOYEE MASTER DATA'!D275:D574)</f>
        <v>Accounts</v>
      </c>
      <c r="D274" s="22">
        <v>22</v>
      </c>
      <c r="E274" s="22">
        <f t="shared" si="12"/>
        <v>1</v>
      </c>
      <c r="F274" s="22">
        <v>1</v>
      </c>
      <c r="G274" s="22">
        <v>4</v>
      </c>
      <c r="H274" s="23">
        <f t="shared" si="13"/>
        <v>7.791666666666667</v>
      </c>
      <c r="I274" s="24">
        <f t="shared" si="14"/>
        <v>0.91666666666666663</v>
      </c>
    </row>
    <row r="275" spans="1:9" x14ac:dyDescent="0.3">
      <c r="A275" s="22" t="str">
        <v>EMP273</v>
      </c>
      <c r="B275" s="22" t="str">
        <v>Nithin Babu</v>
      </c>
      <c r="C275" s="22" t="str">
        <f>_xlfn.XLOOKUP('MONTHLY ATTENDANCE SUMMARY'!A275,'EMPLOYEE MASTER DATA'!A276:A575,'EMPLOYEE MASTER DATA'!D276:D575)</f>
        <v>Maintenance</v>
      </c>
      <c r="D275" s="22">
        <v>20</v>
      </c>
      <c r="E275" s="22">
        <f t="shared" si="12"/>
        <v>3</v>
      </c>
      <c r="F275" s="22">
        <v>1</v>
      </c>
      <c r="G275" s="22">
        <v>4</v>
      </c>
      <c r="H275" s="23">
        <f t="shared" si="13"/>
        <v>7.0833333333333339</v>
      </c>
      <c r="I275" s="24">
        <f t="shared" si="14"/>
        <v>0.83333333333333337</v>
      </c>
    </row>
    <row r="276" spans="1:9" x14ac:dyDescent="0.3">
      <c r="A276" s="22" t="str">
        <v>EMP274</v>
      </c>
      <c r="B276" s="22" t="str">
        <v>Saravanan Babu</v>
      </c>
      <c r="C276" s="22" t="str">
        <f>_xlfn.XLOOKUP('MONTHLY ATTENDANCE SUMMARY'!A276,'EMPLOYEE MASTER DATA'!A277:A576,'EMPLOYEE MASTER DATA'!D277:D576)</f>
        <v>Business Development</v>
      </c>
      <c r="D276" s="22">
        <v>20</v>
      </c>
      <c r="E276" s="22">
        <f t="shared" si="12"/>
        <v>2</v>
      </c>
      <c r="F276" s="22">
        <v>2</v>
      </c>
      <c r="G276" s="22">
        <v>4</v>
      </c>
      <c r="H276" s="23">
        <f t="shared" si="13"/>
        <v>7.0833333333333339</v>
      </c>
      <c r="I276" s="24">
        <f t="shared" si="14"/>
        <v>0.83333333333333337</v>
      </c>
    </row>
    <row r="277" spans="1:9" x14ac:dyDescent="0.3">
      <c r="A277" s="22" t="str">
        <v>EMP275</v>
      </c>
      <c r="B277" s="22" t="str">
        <v>Ashwin Raja</v>
      </c>
      <c r="C277" s="22" t="str">
        <f>_xlfn.XLOOKUP('MONTHLY ATTENDANCE SUMMARY'!A277,'EMPLOYEE MASTER DATA'!A278:A577,'EMPLOYEE MASTER DATA'!D278:D577)</f>
        <v>Accounts</v>
      </c>
      <c r="D277" s="22">
        <v>21</v>
      </c>
      <c r="E277" s="22">
        <f t="shared" si="12"/>
        <v>2</v>
      </c>
      <c r="F277" s="22">
        <v>1</v>
      </c>
      <c r="G277" s="22">
        <v>4</v>
      </c>
      <c r="H277" s="23">
        <f t="shared" si="13"/>
        <v>7.4375</v>
      </c>
      <c r="I277" s="24">
        <f t="shared" si="14"/>
        <v>0.875</v>
      </c>
    </row>
    <row r="278" spans="1:9" x14ac:dyDescent="0.3">
      <c r="A278" s="22" t="str">
        <v>EMP276</v>
      </c>
      <c r="B278" s="22" t="str">
        <v>Madhan Murugan</v>
      </c>
      <c r="C278" s="22" t="str">
        <f>_xlfn.XLOOKUP('MONTHLY ATTENDANCE SUMMARY'!A278,'EMPLOYEE MASTER DATA'!A279:A578,'EMPLOYEE MASTER DATA'!D279:D578)</f>
        <v>Maintenance</v>
      </c>
      <c r="D278" s="22">
        <v>18</v>
      </c>
      <c r="E278" s="22">
        <f t="shared" si="12"/>
        <v>5</v>
      </c>
      <c r="F278" s="22">
        <v>1</v>
      </c>
      <c r="G278" s="22">
        <v>4</v>
      </c>
      <c r="H278" s="23">
        <f t="shared" si="13"/>
        <v>6.375</v>
      </c>
      <c r="I278" s="24">
        <f t="shared" si="14"/>
        <v>0.75</v>
      </c>
    </row>
    <row r="279" spans="1:9" x14ac:dyDescent="0.3">
      <c r="A279" s="22" t="str">
        <v>EMP277</v>
      </c>
      <c r="B279" s="22" t="str">
        <v>Sanjay R</v>
      </c>
      <c r="C279" s="22" t="str">
        <f>_xlfn.XLOOKUP('MONTHLY ATTENDANCE SUMMARY'!A279,'EMPLOYEE MASTER DATA'!A280:A579,'EMPLOYEE MASTER DATA'!D280:D579)</f>
        <v>Back End</v>
      </c>
      <c r="D279" s="22">
        <v>22</v>
      </c>
      <c r="E279" s="22">
        <f t="shared" si="12"/>
        <v>1</v>
      </c>
      <c r="F279" s="22">
        <v>1</v>
      </c>
      <c r="G279" s="22">
        <v>4</v>
      </c>
      <c r="H279" s="23">
        <f t="shared" si="13"/>
        <v>7.791666666666667</v>
      </c>
      <c r="I279" s="24">
        <f t="shared" si="14"/>
        <v>0.91666666666666663</v>
      </c>
    </row>
    <row r="280" spans="1:9" x14ac:dyDescent="0.3">
      <c r="A280" s="22" t="str">
        <v>EMP278</v>
      </c>
      <c r="B280" s="22" t="str">
        <v>Praveen Krishnan</v>
      </c>
      <c r="C280" s="22" t="str">
        <f>_xlfn.XLOOKUP('MONTHLY ATTENDANCE SUMMARY'!A280,'EMPLOYEE MASTER DATA'!A281:A580,'EMPLOYEE MASTER DATA'!D281:D580)</f>
        <v>Maintenance</v>
      </c>
      <c r="D280" s="22">
        <v>21</v>
      </c>
      <c r="E280" s="22">
        <f t="shared" si="12"/>
        <v>2</v>
      </c>
      <c r="F280" s="22">
        <v>1</v>
      </c>
      <c r="G280" s="22">
        <v>4</v>
      </c>
      <c r="H280" s="23">
        <f t="shared" si="13"/>
        <v>7.4375</v>
      </c>
      <c r="I280" s="24">
        <f t="shared" si="14"/>
        <v>0.875</v>
      </c>
    </row>
    <row r="281" spans="1:9" x14ac:dyDescent="0.3">
      <c r="A281" s="22" t="str">
        <v>EMP279</v>
      </c>
      <c r="B281" s="22" t="str">
        <v>Dinesh P</v>
      </c>
      <c r="C281" s="22" t="str">
        <f>_xlfn.XLOOKUP('MONTHLY ATTENDANCE SUMMARY'!A281,'EMPLOYEE MASTER DATA'!A282:A581,'EMPLOYEE MASTER DATA'!D282:D581)</f>
        <v>Maintenance</v>
      </c>
      <c r="D281" s="22">
        <v>20</v>
      </c>
      <c r="E281" s="22">
        <f t="shared" si="12"/>
        <v>3</v>
      </c>
      <c r="F281" s="22">
        <v>1</v>
      </c>
      <c r="G281" s="22">
        <v>4</v>
      </c>
      <c r="H281" s="23">
        <f t="shared" si="13"/>
        <v>7.0833333333333339</v>
      </c>
      <c r="I281" s="24">
        <f t="shared" si="14"/>
        <v>0.83333333333333337</v>
      </c>
    </row>
    <row r="282" spans="1:9" x14ac:dyDescent="0.3">
      <c r="A282" s="22" t="str">
        <v>EMP280</v>
      </c>
      <c r="B282" s="22" t="str">
        <v>Vinoth T</v>
      </c>
      <c r="C282" s="22" t="str">
        <f>_xlfn.XLOOKUP('MONTHLY ATTENDANCE SUMMARY'!A282,'EMPLOYEE MASTER DATA'!A283:A582,'EMPLOYEE MASTER DATA'!D283:D582)</f>
        <v>Customer Relationship</v>
      </c>
      <c r="D282" s="22">
        <v>20</v>
      </c>
      <c r="E282" s="22">
        <f t="shared" si="12"/>
        <v>2</v>
      </c>
      <c r="F282" s="22">
        <v>2</v>
      </c>
      <c r="G282" s="22">
        <v>4</v>
      </c>
      <c r="H282" s="23">
        <f t="shared" si="13"/>
        <v>7.0833333333333339</v>
      </c>
      <c r="I282" s="24">
        <f t="shared" si="14"/>
        <v>0.83333333333333337</v>
      </c>
    </row>
    <row r="283" spans="1:9" x14ac:dyDescent="0.3">
      <c r="A283" s="22" t="str">
        <v>EMP281</v>
      </c>
      <c r="B283" s="22" t="str">
        <v>Praveen Kumar</v>
      </c>
      <c r="C283" s="22" t="str">
        <f>_xlfn.XLOOKUP('MONTHLY ATTENDANCE SUMMARY'!A283,'EMPLOYEE MASTER DATA'!A284:A583,'EMPLOYEE MASTER DATA'!D284:D583)</f>
        <v>Admin</v>
      </c>
      <c r="D283" s="22">
        <v>21</v>
      </c>
      <c r="E283" s="22">
        <f t="shared" si="12"/>
        <v>2</v>
      </c>
      <c r="F283" s="22">
        <v>1</v>
      </c>
      <c r="G283" s="22">
        <v>4</v>
      </c>
      <c r="H283" s="23">
        <f t="shared" si="13"/>
        <v>7.4375</v>
      </c>
      <c r="I283" s="24">
        <f t="shared" si="14"/>
        <v>0.875</v>
      </c>
    </row>
    <row r="284" spans="1:9" x14ac:dyDescent="0.3">
      <c r="A284" s="22" t="str">
        <v>EMP282</v>
      </c>
      <c r="B284" s="22" t="str">
        <v>Harish Selvam</v>
      </c>
      <c r="C284" s="22" t="str">
        <f>_xlfn.XLOOKUP('MONTHLY ATTENDANCE SUMMARY'!A284,'EMPLOYEE MASTER DATA'!A285:A584,'EMPLOYEE MASTER DATA'!D285:D584)</f>
        <v>Front Office</v>
      </c>
      <c r="D284" s="22">
        <v>19</v>
      </c>
      <c r="E284" s="22">
        <f t="shared" si="12"/>
        <v>3</v>
      </c>
      <c r="F284" s="22">
        <v>2</v>
      </c>
      <c r="G284" s="22">
        <v>4</v>
      </c>
      <c r="H284" s="23">
        <f t="shared" si="13"/>
        <v>6.729166666666667</v>
      </c>
      <c r="I284" s="24">
        <f t="shared" si="14"/>
        <v>0.79166666666666663</v>
      </c>
    </row>
    <row r="285" spans="1:9" x14ac:dyDescent="0.3">
      <c r="A285" s="22" t="str">
        <v>EMP283</v>
      </c>
      <c r="B285" s="22" t="str">
        <v>Aravind K</v>
      </c>
      <c r="C285" s="22" t="str">
        <f>_xlfn.XLOOKUP('MONTHLY ATTENDANCE SUMMARY'!A285,'EMPLOYEE MASTER DATA'!A286:A585,'EMPLOYEE MASTER DATA'!D286:D585)</f>
        <v>Procurement</v>
      </c>
      <c r="D285" s="22">
        <v>20</v>
      </c>
      <c r="E285" s="22">
        <f t="shared" si="12"/>
        <v>2</v>
      </c>
      <c r="F285" s="22">
        <v>2</v>
      </c>
      <c r="G285" s="22">
        <v>4</v>
      </c>
      <c r="H285" s="23">
        <f t="shared" si="13"/>
        <v>7.0833333333333339</v>
      </c>
      <c r="I285" s="24">
        <f t="shared" si="14"/>
        <v>0.83333333333333337</v>
      </c>
    </row>
    <row r="286" spans="1:9" x14ac:dyDescent="0.3">
      <c r="A286" s="22" t="str">
        <v>EMP284</v>
      </c>
      <c r="B286" s="22" t="str">
        <v>Naveen Babu</v>
      </c>
      <c r="C286" s="22" t="str">
        <f>_xlfn.XLOOKUP('MONTHLY ATTENDANCE SUMMARY'!A286,'EMPLOYEE MASTER DATA'!A287:A586,'EMPLOYEE MASTER DATA'!D287:D586)</f>
        <v>HR</v>
      </c>
      <c r="D286" s="22">
        <v>19</v>
      </c>
      <c r="E286" s="22">
        <f t="shared" si="12"/>
        <v>4</v>
      </c>
      <c r="F286" s="22">
        <v>1</v>
      </c>
      <c r="G286" s="22">
        <v>4</v>
      </c>
      <c r="H286" s="23">
        <f t="shared" si="13"/>
        <v>6.729166666666667</v>
      </c>
      <c r="I286" s="24">
        <f t="shared" si="14"/>
        <v>0.79166666666666663</v>
      </c>
    </row>
    <row r="287" spans="1:9" x14ac:dyDescent="0.3">
      <c r="A287" s="22" t="str">
        <v>EMP285</v>
      </c>
      <c r="B287" s="22" t="str">
        <v>Kishore Kannan</v>
      </c>
      <c r="C287" s="22" t="str">
        <f>_xlfn.XLOOKUP('MONTHLY ATTENDANCE SUMMARY'!A287,'EMPLOYEE MASTER DATA'!A288:A587,'EMPLOYEE MASTER DATA'!D288:D587)</f>
        <v>IT</v>
      </c>
      <c r="D287" s="22">
        <v>21</v>
      </c>
      <c r="E287" s="22">
        <f t="shared" si="12"/>
        <v>2</v>
      </c>
      <c r="F287" s="22">
        <v>1</v>
      </c>
      <c r="G287" s="22">
        <v>4</v>
      </c>
      <c r="H287" s="23">
        <f t="shared" si="13"/>
        <v>7.4375</v>
      </c>
      <c r="I287" s="24">
        <f t="shared" si="14"/>
        <v>0.875</v>
      </c>
    </row>
    <row r="288" spans="1:9" x14ac:dyDescent="0.3">
      <c r="A288" s="22" t="str">
        <v>EMP286</v>
      </c>
      <c r="B288" s="22" t="str">
        <v>Rahul N</v>
      </c>
      <c r="C288" s="22" t="str">
        <f>_xlfn.XLOOKUP('MONTHLY ATTENDANCE SUMMARY'!A288,'EMPLOYEE MASTER DATA'!A289:A588,'EMPLOYEE MASTER DATA'!D289:D588)</f>
        <v>Admin</v>
      </c>
      <c r="D288" s="22">
        <v>18</v>
      </c>
      <c r="E288" s="22">
        <f t="shared" si="12"/>
        <v>4</v>
      </c>
      <c r="F288" s="22">
        <v>2</v>
      </c>
      <c r="G288" s="22">
        <v>4</v>
      </c>
      <c r="H288" s="23">
        <f t="shared" si="13"/>
        <v>6.375</v>
      </c>
      <c r="I288" s="24">
        <f t="shared" si="14"/>
        <v>0.75</v>
      </c>
    </row>
    <row r="289" spans="1:9" x14ac:dyDescent="0.3">
      <c r="A289" s="22" t="str">
        <v>EMP287</v>
      </c>
      <c r="B289" s="22" t="str">
        <v>Arun Kumar</v>
      </c>
      <c r="C289" s="22" t="str">
        <f>_xlfn.XLOOKUP('MONTHLY ATTENDANCE SUMMARY'!A289,'EMPLOYEE MASTER DATA'!A290:A589,'EMPLOYEE MASTER DATA'!D290:D589)</f>
        <v>Maintenance</v>
      </c>
      <c r="D289" s="22">
        <v>19</v>
      </c>
      <c r="E289" s="22">
        <f t="shared" si="12"/>
        <v>3</v>
      </c>
      <c r="F289" s="22">
        <v>2</v>
      </c>
      <c r="G289" s="22">
        <v>4</v>
      </c>
      <c r="H289" s="23">
        <f t="shared" si="13"/>
        <v>6.729166666666667</v>
      </c>
      <c r="I289" s="24">
        <f t="shared" si="14"/>
        <v>0.79166666666666663</v>
      </c>
    </row>
    <row r="290" spans="1:9" x14ac:dyDescent="0.3">
      <c r="A290" s="22" t="str">
        <v>EMP288</v>
      </c>
      <c r="B290" s="22" t="str">
        <v>Ajay Kumar</v>
      </c>
      <c r="C290" s="22" t="str">
        <f>_xlfn.XLOOKUP('MONTHLY ATTENDANCE SUMMARY'!A290,'EMPLOYEE MASTER DATA'!A291:A590,'EMPLOYEE MASTER DATA'!D291:D590)</f>
        <v>Admin</v>
      </c>
      <c r="D290" s="22">
        <v>19</v>
      </c>
      <c r="E290" s="22">
        <f t="shared" si="12"/>
        <v>3</v>
      </c>
      <c r="F290" s="22">
        <v>2</v>
      </c>
      <c r="G290" s="22">
        <v>4</v>
      </c>
      <c r="H290" s="23">
        <f t="shared" si="13"/>
        <v>6.729166666666667</v>
      </c>
      <c r="I290" s="24">
        <f t="shared" si="14"/>
        <v>0.79166666666666663</v>
      </c>
    </row>
    <row r="291" spans="1:9" x14ac:dyDescent="0.3">
      <c r="A291" s="22" t="str">
        <v>EMP289</v>
      </c>
      <c r="B291" s="22" t="str">
        <v>Arun K</v>
      </c>
      <c r="C291" s="22" t="str">
        <f>_xlfn.XLOOKUP('MONTHLY ATTENDANCE SUMMARY'!A291,'EMPLOYEE MASTER DATA'!A292:A591,'EMPLOYEE MASTER DATA'!D292:D591)</f>
        <v>Production</v>
      </c>
      <c r="D291" s="22">
        <v>22</v>
      </c>
      <c r="E291" s="22">
        <f t="shared" si="12"/>
        <v>1</v>
      </c>
      <c r="F291" s="22">
        <v>1</v>
      </c>
      <c r="G291" s="22">
        <v>4</v>
      </c>
      <c r="H291" s="23">
        <f t="shared" si="13"/>
        <v>7.791666666666667</v>
      </c>
      <c r="I291" s="24">
        <f t="shared" si="14"/>
        <v>0.91666666666666663</v>
      </c>
    </row>
    <row r="292" spans="1:9" x14ac:dyDescent="0.3">
      <c r="A292" s="22" t="str">
        <v>EMP290</v>
      </c>
      <c r="B292" s="22" t="str">
        <v>Prakash Prasad</v>
      </c>
      <c r="C292" s="22" t="str">
        <f>_xlfn.XLOOKUP('MONTHLY ATTENDANCE SUMMARY'!A292,'EMPLOYEE MASTER DATA'!A293:A592,'EMPLOYEE MASTER DATA'!D293:D592)</f>
        <v>Customer Relationship</v>
      </c>
      <c r="D292" s="22">
        <v>20</v>
      </c>
      <c r="E292" s="22">
        <f t="shared" si="12"/>
        <v>2</v>
      </c>
      <c r="F292" s="22">
        <v>2</v>
      </c>
      <c r="G292" s="22">
        <v>4</v>
      </c>
      <c r="H292" s="23">
        <f t="shared" si="13"/>
        <v>7.0833333333333339</v>
      </c>
      <c r="I292" s="24">
        <f t="shared" si="14"/>
        <v>0.83333333333333337</v>
      </c>
    </row>
    <row r="293" spans="1:9" x14ac:dyDescent="0.3">
      <c r="A293" s="22" t="str">
        <v>EMP291</v>
      </c>
      <c r="B293" s="22" t="str">
        <v>Bharath N</v>
      </c>
      <c r="C293" s="22" t="str">
        <f>_xlfn.XLOOKUP('MONTHLY ATTENDANCE SUMMARY'!A293,'EMPLOYEE MASTER DATA'!A294:A593,'EMPLOYEE MASTER DATA'!D294:D593)</f>
        <v>Accounts</v>
      </c>
      <c r="D293" s="22">
        <v>21</v>
      </c>
      <c r="E293" s="22">
        <f t="shared" si="12"/>
        <v>2</v>
      </c>
      <c r="F293" s="22">
        <v>1</v>
      </c>
      <c r="G293" s="22">
        <v>4</v>
      </c>
      <c r="H293" s="23">
        <f t="shared" si="13"/>
        <v>7.4375</v>
      </c>
      <c r="I293" s="24">
        <f t="shared" si="14"/>
        <v>0.875</v>
      </c>
    </row>
    <row r="294" spans="1:9" x14ac:dyDescent="0.3">
      <c r="A294" s="22" t="str">
        <v>EMP292</v>
      </c>
      <c r="B294" s="22" t="str">
        <v>Suresh Murugan</v>
      </c>
      <c r="C294" s="22" t="str">
        <f>_xlfn.XLOOKUP('MONTHLY ATTENDANCE SUMMARY'!A294,'EMPLOYEE MASTER DATA'!A295:A594,'EMPLOYEE MASTER DATA'!D295:D594)</f>
        <v>Maintenance</v>
      </c>
      <c r="D294" s="22">
        <v>19</v>
      </c>
      <c r="E294" s="22">
        <f t="shared" si="12"/>
        <v>4</v>
      </c>
      <c r="F294" s="22">
        <v>1</v>
      </c>
      <c r="G294" s="22">
        <v>4</v>
      </c>
      <c r="H294" s="23">
        <f t="shared" si="13"/>
        <v>6.729166666666667</v>
      </c>
      <c r="I294" s="24">
        <f t="shared" si="14"/>
        <v>0.79166666666666663</v>
      </c>
    </row>
    <row r="295" spans="1:9" x14ac:dyDescent="0.3">
      <c r="A295" s="22" t="str">
        <v>EMP293</v>
      </c>
      <c r="B295" s="22" t="str">
        <v>Rahul K</v>
      </c>
      <c r="C295" s="22" t="str">
        <f>_xlfn.XLOOKUP('MONTHLY ATTENDANCE SUMMARY'!A295,'EMPLOYEE MASTER DATA'!A296:A595,'EMPLOYEE MASTER DATA'!D296:D595)</f>
        <v>Maintenance</v>
      </c>
      <c r="D295" s="22">
        <v>21</v>
      </c>
      <c r="E295" s="22">
        <f t="shared" si="12"/>
        <v>2</v>
      </c>
      <c r="F295" s="22">
        <v>1</v>
      </c>
      <c r="G295" s="22">
        <v>4</v>
      </c>
      <c r="H295" s="23">
        <f t="shared" si="13"/>
        <v>7.4375</v>
      </c>
      <c r="I295" s="24">
        <f t="shared" si="14"/>
        <v>0.875</v>
      </c>
    </row>
    <row r="296" spans="1:9" x14ac:dyDescent="0.3">
      <c r="A296" s="22" t="str">
        <v>EMP294</v>
      </c>
      <c r="B296" s="22" t="str">
        <v>Nithin N</v>
      </c>
      <c r="C296" s="22" t="str">
        <f>_xlfn.XLOOKUP('MONTHLY ATTENDANCE SUMMARY'!A296,'EMPLOYEE MASTER DATA'!A297:A596,'EMPLOYEE MASTER DATA'!D297:D596)</f>
        <v>IT</v>
      </c>
      <c r="D296" s="22">
        <v>21</v>
      </c>
      <c r="E296" s="22">
        <f t="shared" si="12"/>
        <v>2</v>
      </c>
      <c r="F296" s="22">
        <v>1</v>
      </c>
      <c r="G296" s="22">
        <v>4</v>
      </c>
      <c r="H296" s="23">
        <f t="shared" si="13"/>
        <v>7.4375</v>
      </c>
      <c r="I296" s="24">
        <f t="shared" si="14"/>
        <v>0.875</v>
      </c>
    </row>
    <row r="297" spans="1:9" x14ac:dyDescent="0.3">
      <c r="A297" s="22" t="str">
        <v>EMP295</v>
      </c>
      <c r="B297" s="22" t="str">
        <v>Praveen M</v>
      </c>
      <c r="C297" s="22" t="str">
        <f>_xlfn.XLOOKUP('MONTHLY ATTENDANCE SUMMARY'!A297,'EMPLOYEE MASTER DATA'!A298:A597,'EMPLOYEE MASTER DATA'!D298:D597)</f>
        <v>Sales</v>
      </c>
      <c r="D297" s="22">
        <v>18</v>
      </c>
      <c r="E297" s="22">
        <f t="shared" si="12"/>
        <v>5</v>
      </c>
      <c r="F297" s="22">
        <v>1</v>
      </c>
      <c r="G297" s="22">
        <v>4</v>
      </c>
      <c r="H297" s="23">
        <f t="shared" si="13"/>
        <v>6.375</v>
      </c>
      <c r="I297" s="24">
        <f t="shared" si="14"/>
        <v>0.75</v>
      </c>
    </row>
    <row r="298" spans="1:9" x14ac:dyDescent="0.3">
      <c r="A298" s="22" t="str">
        <v>EMP296</v>
      </c>
      <c r="B298" s="22" t="str">
        <v>Sanjay B</v>
      </c>
      <c r="C298" s="22" t="str">
        <f>_xlfn.XLOOKUP('MONTHLY ATTENDANCE SUMMARY'!A298,'EMPLOYEE MASTER DATA'!A299:A598,'EMPLOYEE MASTER DATA'!D299:D598)</f>
        <v>Sales</v>
      </c>
      <c r="D298" s="22">
        <v>21</v>
      </c>
      <c r="E298" s="22">
        <f t="shared" si="12"/>
        <v>2</v>
      </c>
      <c r="F298" s="22">
        <v>1</v>
      </c>
      <c r="G298" s="22">
        <v>4</v>
      </c>
      <c r="H298" s="23">
        <f t="shared" si="13"/>
        <v>7.4375</v>
      </c>
      <c r="I298" s="24">
        <f t="shared" si="14"/>
        <v>0.875</v>
      </c>
    </row>
    <row r="299" spans="1:9" x14ac:dyDescent="0.3">
      <c r="A299" s="22" t="str">
        <v>EMP297</v>
      </c>
      <c r="B299" s="22" t="str">
        <v>Vinoth Kannan</v>
      </c>
      <c r="C299" s="22" t="str">
        <f>_xlfn.XLOOKUP('MONTHLY ATTENDANCE SUMMARY'!A299,'EMPLOYEE MASTER DATA'!A300:A599,'EMPLOYEE MASTER DATA'!D300:D599)</f>
        <v>Production</v>
      </c>
      <c r="D299" s="22">
        <v>20</v>
      </c>
      <c r="E299" s="22">
        <f t="shared" si="12"/>
        <v>3</v>
      </c>
      <c r="F299" s="22">
        <v>1</v>
      </c>
      <c r="G299" s="22">
        <v>4</v>
      </c>
      <c r="H299" s="23">
        <f t="shared" si="13"/>
        <v>7.0833333333333339</v>
      </c>
      <c r="I299" s="24">
        <f t="shared" si="14"/>
        <v>0.83333333333333337</v>
      </c>
    </row>
    <row r="300" spans="1:9" x14ac:dyDescent="0.3">
      <c r="A300" s="22" t="str">
        <v>EMP298</v>
      </c>
      <c r="B300" s="22" t="str">
        <v>Harish Narayanan</v>
      </c>
      <c r="C300" s="22" t="str">
        <f>_xlfn.XLOOKUP('MONTHLY ATTENDANCE SUMMARY'!A300,'EMPLOYEE MASTER DATA'!A301:A600,'EMPLOYEE MASTER DATA'!D301:D600)</f>
        <v>Admin</v>
      </c>
      <c r="D300" s="22">
        <v>22</v>
      </c>
      <c r="E300" s="22">
        <f t="shared" si="12"/>
        <v>1</v>
      </c>
      <c r="F300" s="22">
        <v>1</v>
      </c>
      <c r="G300" s="22">
        <v>4</v>
      </c>
      <c r="H300" s="23">
        <f t="shared" si="13"/>
        <v>7.791666666666667</v>
      </c>
      <c r="I300" s="24">
        <f t="shared" si="14"/>
        <v>0.91666666666666663</v>
      </c>
    </row>
    <row r="301" spans="1:9" x14ac:dyDescent="0.3">
      <c r="A301" s="22" t="str">
        <v>EMP299</v>
      </c>
      <c r="B301" s="22" t="str">
        <v>Ashwin B</v>
      </c>
      <c r="C301" s="22" t="str">
        <f>_xlfn.XLOOKUP('MONTHLY ATTENDANCE SUMMARY'!A301,'EMPLOYEE MASTER DATA'!A302:A601,'EMPLOYEE MASTER DATA'!D302:D601)</f>
        <v>Accounts</v>
      </c>
      <c r="D301" s="22">
        <v>19</v>
      </c>
      <c r="E301" s="22">
        <f t="shared" si="12"/>
        <v>4</v>
      </c>
      <c r="F301" s="22">
        <v>1</v>
      </c>
      <c r="G301" s="22">
        <v>4</v>
      </c>
      <c r="H301" s="23">
        <f t="shared" si="13"/>
        <v>6.729166666666667</v>
      </c>
      <c r="I301" s="24">
        <f t="shared" si="14"/>
        <v>0.79166666666666663</v>
      </c>
    </row>
    <row r="302" spans="1:9" x14ac:dyDescent="0.3">
      <c r="A302" s="22" t="str">
        <v>EMP300</v>
      </c>
      <c r="B302" s="22" t="str">
        <v>Ganesh Narayanan</v>
      </c>
      <c r="C302" s="22" t="str">
        <f>_xlfn.XLOOKUP('MONTHLY ATTENDANCE SUMMARY'!A302,'EMPLOYEE MASTER DATA'!A303:A602,'EMPLOYEE MASTER DATA'!D303:D602)</f>
        <v>Maintenance</v>
      </c>
      <c r="D302" s="22">
        <v>15</v>
      </c>
      <c r="E302" s="22">
        <f t="shared" si="12"/>
        <v>7</v>
      </c>
      <c r="F302" s="22">
        <v>2</v>
      </c>
      <c r="G302" s="22">
        <v>4</v>
      </c>
      <c r="H302" s="23">
        <f t="shared" si="13"/>
        <v>5.3125</v>
      </c>
      <c r="I302" s="24">
        <f t="shared" si="14"/>
        <v>0.625</v>
      </c>
    </row>
  </sheetData>
  <mergeCells count="1">
    <mergeCell ref="A1:I1"/>
  </mergeCells>
  <conditionalFormatting sqref="A3:I302">
    <cfRule type="expression" dxfId="2" priority="2">
      <formula>$I3&lt;=70%</formula>
    </cfRule>
    <cfRule type="expression" dxfId="1" priority="4">
      <formula>$I3&gt;=90%</formula>
    </cfRule>
  </conditionalFormatting>
  <conditionalFormatting sqref="J3:J302">
    <cfRule type="expression" dxfId="0" priority="1">
      <formula>$J$3=25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F215-8292-4316-8545-02710D1BB910}">
  <sheetPr>
    <pageSetUpPr fitToPage="1"/>
  </sheetPr>
  <dimension ref="A1:O303"/>
  <sheetViews>
    <sheetView zoomScale="80" zoomScaleNormal="80" workbookViewId="0">
      <pane ySplit="3" topLeftCell="A8" activePane="bottomLeft" state="frozen"/>
      <selection pane="bottomLeft" activeCell="S33" sqref="S33"/>
    </sheetView>
  </sheetViews>
  <sheetFormatPr defaultRowHeight="14.4" x14ac:dyDescent="0.3"/>
  <cols>
    <col min="1" max="1" width="15.88671875" bestFit="1" customWidth="1"/>
    <col min="2" max="2" width="19" bestFit="1" customWidth="1"/>
    <col min="3" max="3" width="19.5546875" bestFit="1" customWidth="1"/>
    <col min="4" max="4" width="33.6640625" bestFit="1" customWidth="1"/>
    <col min="5" max="5" width="13.5546875" bestFit="1" customWidth="1"/>
    <col min="6" max="6" width="16.33203125" bestFit="1" customWidth="1"/>
    <col min="7" max="7" width="13.21875" bestFit="1" customWidth="1"/>
    <col min="8" max="8" width="19.33203125" bestFit="1" customWidth="1"/>
    <col min="9" max="9" width="8.21875" bestFit="1" customWidth="1"/>
    <col min="10" max="10" width="9.21875" bestFit="1" customWidth="1"/>
    <col min="11" max="11" width="12.33203125" bestFit="1" customWidth="1"/>
    <col min="12" max="12" width="11.33203125" bestFit="1" customWidth="1"/>
    <col min="13" max="13" width="16.33203125" bestFit="1" customWidth="1"/>
    <col min="14" max="14" width="9.77734375" bestFit="1" customWidth="1"/>
    <col min="15" max="15" width="12.44140625" bestFit="1" customWidth="1"/>
  </cols>
  <sheetData>
    <row r="1" spans="1:15" ht="61.2" x14ac:dyDescent="0.3">
      <c r="A1" s="55" t="s">
        <v>718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15" s="25" customFormat="1" ht="18" x14ac:dyDescent="0.35">
      <c r="A2" s="58" t="s">
        <v>742</v>
      </c>
      <c r="B2" s="54"/>
      <c r="C2" s="54"/>
      <c r="D2" s="54"/>
      <c r="E2" s="54" t="s">
        <v>712</v>
      </c>
      <c r="F2" s="54"/>
      <c r="G2" s="54" t="s">
        <v>713</v>
      </c>
      <c r="H2" s="54"/>
      <c r="I2" s="54"/>
      <c r="J2" s="54"/>
      <c r="K2" s="54" t="s">
        <v>717</v>
      </c>
      <c r="L2" s="54"/>
      <c r="M2" s="54"/>
      <c r="N2" s="54"/>
      <c r="O2" s="41"/>
    </row>
    <row r="3" spans="1:15" s="25" customFormat="1" ht="18" x14ac:dyDescent="0.35">
      <c r="A3" s="39" t="s">
        <v>704</v>
      </c>
      <c r="B3" s="40" t="s">
        <v>690</v>
      </c>
      <c r="C3" s="40" t="s">
        <v>3</v>
      </c>
      <c r="D3" s="40" t="s">
        <v>4</v>
      </c>
      <c r="E3" s="40" t="s">
        <v>688</v>
      </c>
      <c r="F3" s="40" t="s">
        <v>705</v>
      </c>
      <c r="G3" s="40" t="s">
        <v>706</v>
      </c>
      <c r="H3" s="40" t="s">
        <v>714</v>
      </c>
      <c r="I3" s="40" t="s">
        <v>715</v>
      </c>
      <c r="J3" s="40" t="s">
        <v>716</v>
      </c>
      <c r="K3" s="40" t="s">
        <v>707</v>
      </c>
      <c r="L3" s="40" t="s">
        <v>708</v>
      </c>
      <c r="M3" s="40" t="s">
        <v>710</v>
      </c>
      <c r="N3" s="40" t="s">
        <v>711</v>
      </c>
      <c r="O3" s="31" t="s">
        <v>709</v>
      </c>
    </row>
    <row r="4" spans="1:15" x14ac:dyDescent="0.3">
      <c r="A4" s="10" t="str" cm="1">
        <f t="array" ref="A4:B303">_xlfn.SORTBY('EMPLOYEE MASTER DATA'!A4:B303,'EMPLOYEE MASTER DATA'!A4:A303,1)</f>
        <v>EMP001</v>
      </c>
      <c r="B4" s="4" t="str">
        <v>Vijay V</v>
      </c>
      <c r="C4" s="4" t="str">
        <f>_xlfn.XLOOKUP(A4,'EMPLOYEE MASTER DATA'!A4:A303,'EMPLOYEE MASTER DATA'!D4:D303)</f>
        <v>Production</v>
      </c>
      <c r="D4" s="4" t="str">
        <f>_xlfn.XLOOKUP(A4,'EMPLOYEE MASTER DATA'!A4:A303,'EMPLOYEE MASTER DATA'!E4:E303)</f>
        <v>Production Executive</v>
      </c>
      <c r="E4" s="26">
        <f>_xlfn.XLOOKUP(A4,'EMPLOYEE MASTER DATA'!A4:A303,'EMPLOYEE MASTER DATA'!F4:F303)</f>
        <v>29000</v>
      </c>
      <c r="F4" s="26">
        <f>E4/24</f>
        <v>1208.3333333333333</v>
      </c>
      <c r="G4" s="4" cm="1">
        <f t="array" ref="G4:G303">_xlfn.XLOOKUP(PAYROLL!A4:A303,'MONTHLY ATTENDANCE SUMMARY'!A3:A302,'MONTHLY ATTENDANCE SUMMARY'!D3:D302)</f>
        <v>18</v>
      </c>
      <c r="H4" s="4">
        <f>_xlfn.XLOOKUP(A4,'MONTHLY ATTENDANCE SUMMARY'!A3:A302,'MONTHLY ATTENDANCE SUMMARY'!F3:F302)</f>
        <v>2</v>
      </c>
      <c r="I4" s="4">
        <f>MIN(H4,1)</f>
        <v>1</v>
      </c>
      <c r="J4" s="4">
        <f>MAX(H4-1,0)</f>
        <v>1</v>
      </c>
      <c r="K4" s="26">
        <f>F4*(G4+I4+(J4*0.5))</f>
        <v>23562.5</v>
      </c>
      <c r="L4" s="26">
        <f t="shared" ref="L4:L67" si="0">E4*12%</f>
        <v>3480</v>
      </c>
      <c r="M4" s="26">
        <f>IF(K4&gt;=21000,200,0)</f>
        <v>200</v>
      </c>
      <c r="N4" s="26">
        <f>IF(K4&lt;=21000,K4*0.75%,0)</f>
        <v>0</v>
      </c>
      <c r="O4" s="27">
        <f>K4-SUM(L4:N4)</f>
        <v>19882.5</v>
      </c>
    </row>
    <row r="5" spans="1:15" x14ac:dyDescent="0.3">
      <c r="A5" s="10" t="str">
        <v>EMP002</v>
      </c>
      <c r="B5" s="4" t="str">
        <v>Sathish V</v>
      </c>
      <c r="C5" s="4" t="str">
        <f>_xlfn.XLOOKUP(A5,'EMPLOYEE MASTER DATA'!A5:A304,'EMPLOYEE MASTER DATA'!D5:D304)</f>
        <v>Production</v>
      </c>
      <c r="D5" s="4" t="str">
        <f>_xlfn.XLOOKUP(A5,'EMPLOYEE MASTER DATA'!A5:A304,'EMPLOYEE MASTER DATA'!E5:E304)</f>
        <v>Shift Incharge</v>
      </c>
      <c r="E5" s="26">
        <f>_xlfn.XLOOKUP(A5,'EMPLOYEE MASTER DATA'!A5:A304,'EMPLOYEE MASTER DATA'!F5:F304)</f>
        <v>46500</v>
      </c>
      <c r="F5" s="26">
        <f t="shared" ref="F5:F68" si="1">E5/24</f>
        <v>1937.5</v>
      </c>
      <c r="G5" s="4">
        <v>20</v>
      </c>
      <c r="H5" s="4">
        <f>_xlfn.XLOOKUP(A5,'MONTHLY ATTENDANCE SUMMARY'!A4:A303,'MONTHLY ATTENDANCE SUMMARY'!F4:F303)</f>
        <v>2</v>
      </c>
      <c r="I5" s="4">
        <f t="shared" ref="I5:I68" si="2">MIN(H5,1)</f>
        <v>1</v>
      </c>
      <c r="J5" s="4">
        <f t="shared" ref="J5:J68" si="3">MAX(H5-1,0)</f>
        <v>1</v>
      </c>
      <c r="K5" s="26">
        <f t="shared" ref="K5:K68" si="4">F5*(G5+I5+(J5*0.5))</f>
        <v>41656.25</v>
      </c>
      <c r="L5" s="26">
        <f t="shared" si="0"/>
        <v>5580</v>
      </c>
      <c r="M5" s="26">
        <f t="shared" ref="M5:M68" si="5">IF(K5&gt;=21000,200,0)</f>
        <v>200</v>
      </c>
      <c r="N5" s="26">
        <f t="shared" ref="N5:N68" si="6">IF(K5&lt;=21000,K5*0.75%,0)</f>
        <v>0</v>
      </c>
      <c r="O5" s="27">
        <f t="shared" ref="O5:O68" si="7">K5-SUM(L5:N5)</f>
        <v>35876.25</v>
      </c>
    </row>
    <row r="6" spans="1:15" x14ac:dyDescent="0.3">
      <c r="A6" s="10" t="str">
        <v>EMP003</v>
      </c>
      <c r="B6" s="4" t="str">
        <v>Aravind B</v>
      </c>
      <c r="C6" s="4" t="str">
        <f>_xlfn.XLOOKUP(A6,'EMPLOYEE MASTER DATA'!A6:A305,'EMPLOYEE MASTER DATA'!D6:D305)</f>
        <v>Business Development</v>
      </c>
      <c r="D6" s="4" t="str">
        <f>_xlfn.XLOOKUP(A6,'EMPLOYEE MASTER DATA'!A6:A305,'EMPLOYEE MASTER DATA'!E6:E305)</f>
        <v>Senior Business Development Executive</v>
      </c>
      <c r="E6" s="26">
        <f>_xlfn.XLOOKUP(A6,'EMPLOYEE MASTER DATA'!A6:A305,'EMPLOYEE MASTER DATA'!F6:F305)</f>
        <v>44500</v>
      </c>
      <c r="F6" s="26">
        <f t="shared" si="1"/>
        <v>1854.1666666666667</v>
      </c>
      <c r="G6" s="4">
        <v>22</v>
      </c>
      <c r="H6" s="4">
        <f>_xlfn.XLOOKUP(A6,'MONTHLY ATTENDANCE SUMMARY'!A5:A304,'MONTHLY ATTENDANCE SUMMARY'!F5:F304)</f>
        <v>1</v>
      </c>
      <c r="I6" s="4">
        <f t="shared" si="2"/>
        <v>1</v>
      </c>
      <c r="J6" s="4">
        <f t="shared" si="3"/>
        <v>0</v>
      </c>
      <c r="K6" s="26">
        <f t="shared" si="4"/>
        <v>42645.833333333336</v>
      </c>
      <c r="L6" s="26">
        <f t="shared" si="0"/>
        <v>5340</v>
      </c>
      <c r="M6" s="26">
        <f t="shared" si="5"/>
        <v>200</v>
      </c>
      <c r="N6" s="26">
        <f t="shared" si="6"/>
        <v>0</v>
      </c>
      <c r="O6" s="27">
        <f t="shared" si="7"/>
        <v>37105.833333333336</v>
      </c>
    </row>
    <row r="7" spans="1:15" x14ac:dyDescent="0.3">
      <c r="A7" s="10" t="str">
        <v>EMP004</v>
      </c>
      <c r="B7" s="4" t="str">
        <v>Ramesh Kumar</v>
      </c>
      <c r="C7" s="4" t="str">
        <f>_xlfn.XLOOKUP(A7,'EMPLOYEE MASTER DATA'!A7:A306,'EMPLOYEE MASTER DATA'!D7:D306)</f>
        <v>Front Office</v>
      </c>
      <c r="D7" s="4" t="str">
        <f>_xlfn.XLOOKUP(A7,'EMPLOYEE MASTER DATA'!A7:A306,'EMPLOYEE MASTER DATA'!E7:E306)</f>
        <v>Receptionist</v>
      </c>
      <c r="E7" s="26">
        <f>_xlfn.XLOOKUP(A7,'EMPLOYEE MASTER DATA'!A7:A306,'EMPLOYEE MASTER DATA'!F7:F306)</f>
        <v>20500</v>
      </c>
      <c r="F7" s="26">
        <f t="shared" si="1"/>
        <v>854.16666666666663</v>
      </c>
      <c r="G7" s="4">
        <v>22</v>
      </c>
      <c r="H7" s="4">
        <f>_xlfn.XLOOKUP(A7,'MONTHLY ATTENDANCE SUMMARY'!A6:A305,'MONTHLY ATTENDANCE SUMMARY'!F6:F305)</f>
        <v>1</v>
      </c>
      <c r="I7" s="4">
        <f t="shared" si="2"/>
        <v>1</v>
      </c>
      <c r="J7" s="4">
        <f t="shared" si="3"/>
        <v>0</v>
      </c>
      <c r="K7" s="26">
        <f t="shared" si="4"/>
        <v>19645.833333333332</v>
      </c>
      <c r="L7" s="26">
        <f t="shared" si="0"/>
        <v>2460</v>
      </c>
      <c r="M7" s="26">
        <f t="shared" si="5"/>
        <v>0</v>
      </c>
      <c r="N7" s="26">
        <f t="shared" si="6"/>
        <v>147.34374999999997</v>
      </c>
      <c r="O7" s="27">
        <f t="shared" si="7"/>
        <v>17038.489583333332</v>
      </c>
    </row>
    <row r="8" spans="1:15" x14ac:dyDescent="0.3">
      <c r="A8" s="10" t="str">
        <v>EMP005</v>
      </c>
      <c r="B8" s="4" t="str">
        <v>Naveen Kumar</v>
      </c>
      <c r="C8" s="4" t="str">
        <f>_xlfn.XLOOKUP(A8,'EMPLOYEE MASTER DATA'!A8:A307,'EMPLOYEE MASTER DATA'!D8:D307)</f>
        <v>Front Office</v>
      </c>
      <c r="D8" s="4" t="str">
        <f>_xlfn.XLOOKUP(A8,'EMPLOYEE MASTER DATA'!A8:A307,'EMPLOYEE MASTER DATA'!E8:E307)</f>
        <v>Front Office Executive</v>
      </c>
      <c r="E8" s="26">
        <f>_xlfn.XLOOKUP(A8,'EMPLOYEE MASTER DATA'!A8:A307,'EMPLOYEE MASTER DATA'!F8:F307)</f>
        <v>29000</v>
      </c>
      <c r="F8" s="26">
        <f t="shared" si="1"/>
        <v>1208.3333333333333</v>
      </c>
      <c r="G8" s="4">
        <v>18</v>
      </c>
      <c r="H8" s="4">
        <f>_xlfn.XLOOKUP(A8,'MONTHLY ATTENDANCE SUMMARY'!A7:A306,'MONTHLY ATTENDANCE SUMMARY'!F7:F306)</f>
        <v>1</v>
      </c>
      <c r="I8" s="4">
        <f t="shared" si="2"/>
        <v>1</v>
      </c>
      <c r="J8" s="4">
        <f t="shared" si="3"/>
        <v>0</v>
      </c>
      <c r="K8" s="26">
        <f t="shared" si="4"/>
        <v>22958.333333333332</v>
      </c>
      <c r="L8" s="26">
        <f t="shared" si="0"/>
        <v>3480</v>
      </c>
      <c r="M8" s="26">
        <f t="shared" si="5"/>
        <v>200</v>
      </c>
      <c r="N8" s="26">
        <f t="shared" si="6"/>
        <v>0</v>
      </c>
      <c r="O8" s="27">
        <f t="shared" si="7"/>
        <v>19278.333333333332</v>
      </c>
    </row>
    <row r="9" spans="1:15" x14ac:dyDescent="0.3">
      <c r="A9" s="10" t="str">
        <v>EMP006</v>
      </c>
      <c r="B9" s="4" t="str">
        <v>Karthik T</v>
      </c>
      <c r="C9" s="4" t="str">
        <f>_xlfn.XLOOKUP(A9,'EMPLOYEE MASTER DATA'!A9:A308,'EMPLOYEE MASTER DATA'!D9:D308)</f>
        <v>Admin</v>
      </c>
      <c r="D9" s="4" t="str">
        <f>_xlfn.XLOOKUP(A9,'EMPLOYEE MASTER DATA'!A9:A308,'EMPLOYEE MASTER DATA'!E9:E308)</f>
        <v>Admin Manager</v>
      </c>
      <c r="E9" s="26">
        <f>_xlfn.XLOOKUP(A9,'EMPLOYEE MASTER DATA'!A9:A308,'EMPLOYEE MASTER DATA'!F9:F308)</f>
        <v>53500</v>
      </c>
      <c r="F9" s="26">
        <f t="shared" si="1"/>
        <v>2229.1666666666665</v>
      </c>
      <c r="G9" s="4">
        <v>18</v>
      </c>
      <c r="H9" s="4">
        <f>_xlfn.XLOOKUP(A9,'MONTHLY ATTENDANCE SUMMARY'!A8:A307,'MONTHLY ATTENDANCE SUMMARY'!F8:F307)</f>
        <v>2</v>
      </c>
      <c r="I9" s="4">
        <f t="shared" si="2"/>
        <v>1</v>
      </c>
      <c r="J9" s="4">
        <f t="shared" si="3"/>
        <v>1</v>
      </c>
      <c r="K9" s="26">
        <f t="shared" si="4"/>
        <v>43468.75</v>
      </c>
      <c r="L9" s="26">
        <f t="shared" si="0"/>
        <v>6420</v>
      </c>
      <c r="M9" s="26">
        <f t="shared" si="5"/>
        <v>200</v>
      </c>
      <c r="N9" s="26">
        <f t="shared" si="6"/>
        <v>0</v>
      </c>
      <c r="O9" s="27">
        <f t="shared" si="7"/>
        <v>36848.75</v>
      </c>
    </row>
    <row r="10" spans="1:15" x14ac:dyDescent="0.3">
      <c r="A10" s="10" t="str">
        <v>EMP007</v>
      </c>
      <c r="B10" s="4" t="str">
        <v>Arun B</v>
      </c>
      <c r="C10" s="4" t="str">
        <f>_xlfn.XLOOKUP(A10,'EMPLOYEE MASTER DATA'!A10:A309,'EMPLOYEE MASTER DATA'!D10:D309)</f>
        <v>Admin</v>
      </c>
      <c r="D10" s="4" t="str">
        <f>_xlfn.XLOOKUP(A10,'EMPLOYEE MASTER DATA'!A10:A309,'EMPLOYEE MASTER DATA'!E10:E309)</f>
        <v>Office Coordinator</v>
      </c>
      <c r="E10" s="26">
        <f>_xlfn.XLOOKUP(A10,'EMPLOYEE MASTER DATA'!A10:A309,'EMPLOYEE MASTER DATA'!F10:F309)</f>
        <v>25500</v>
      </c>
      <c r="F10" s="26">
        <f t="shared" si="1"/>
        <v>1062.5</v>
      </c>
      <c r="G10" s="4">
        <v>13</v>
      </c>
      <c r="H10" s="4">
        <f>_xlfn.XLOOKUP(A10,'MONTHLY ATTENDANCE SUMMARY'!A9:A308,'MONTHLY ATTENDANCE SUMMARY'!F9:F308)</f>
        <v>1</v>
      </c>
      <c r="I10" s="4">
        <f t="shared" si="2"/>
        <v>1</v>
      </c>
      <c r="J10" s="4">
        <f t="shared" si="3"/>
        <v>0</v>
      </c>
      <c r="K10" s="26">
        <f t="shared" si="4"/>
        <v>14875</v>
      </c>
      <c r="L10" s="26">
        <f t="shared" si="0"/>
        <v>3060</v>
      </c>
      <c r="M10" s="26">
        <f t="shared" si="5"/>
        <v>0</v>
      </c>
      <c r="N10" s="26">
        <f t="shared" si="6"/>
        <v>111.5625</v>
      </c>
      <c r="O10" s="27">
        <f t="shared" si="7"/>
        <v>11703.4375</v>
      </c>
    </row>
    <row r="11" spans="1:15" x14ac:dyDescent="0.3">
      <c r="A11" s="10" t="str">
        <v>EMP008</v>
      </c>
      <c r="B11" s="4" t="str">
        <v>Sathish G</v>
      </c>
      <c r="C11" s="4" t="str">
        <f>_xlfn.XLOOKUP(A11,'EMPLOYEE MASTER DATA'!A11:A310,'EMPLOYEE MASTER DATA'!D11:D310)</f>
        <v>Accounts</v>
      </c>
      <c r="D11" s="4" t="str">
        <f>_xlfn.XLOOKUP(A11,'EMPLOYEE MASTER DATA'!A11:A310,'EMPLOYEE MASTER DATA'!E11:E310)</f>
        <v>Accountant</v>
      </c>
      <c r="E11" s="26">
        <f>_xlfn.XLOOKUP(A11,'EMPLOYEE MASTER DATA'!A11:A310,'EMPLOYEE MASTER DATA'!F11:F310)</f>
        <v>27500</v>
      </c>
      <c r="F11" s="26">
        <f t="shared" si="1"/>
        <v>1145.8333333333333</v>
      </c>
      <c r="G11" s="4">
        <v>18</v>
      </c>
      <c r="H11" s="4">
        <f>_xlfn.XLOOKUP(A11,'MONTHLY ATTENDANCE SUMMARY'!A10:A309,'MONTHLY ATTENDANCE SUMMARY'!F10:F309)</f>
        <v>2</v>
      </c>
      <c r="I11" s="4">
        <f t="shared" si="2"/>
        <v>1</v>
      </c>
      <c r="J11" s="4">
        <f t="shared" si="3"/>
        <v>1</v>
      </c>
      <c r="K11" s="26">
        <f t="shared" si="4"/>
        <v>22343.75</v>
      </c>
      <c r="L11" s="26">
        <f t="shared" si="0"/>
        <v>3300</v>
      </c>
      <c r="M11" s="26">
        <f t="shared" si="5"/>
        <v>200</v>
      </c>
      <c r="N11" s="26">
        <f t="shared" si="6"/>
        <v>0</v>
      </c>
      <c r="O11" s="27">
        <f t="shared" si="7"/>
        <v>18843.75</v>
      </c>
    </row>
    <row r="12" spans="1:15" x14ac:dyDescent="0.3">
      <c r="A12" s="10" t="str">
        <v>EMP009</v>
      </c>
      <c r="B12" s="4" t="str">
        <v>Yuvaraj Babu</v>
      </c>
      <c r="C12" s="4" t="str">
        <f>_xlfn.XLOOKUP(A12,'EMPLOYEE MASTER DATA'!A12:A311,'EMPLOYEE MASTER DATA'!D12:D311)</f>
        <v>Sales</v>
      </c>
      <c r="D12" s="4" t="str">
        <f>_xlfn.XLOOKUP(A12,'EMPLOYEE MASTER DATA'!A12:A311,'EMPLOYEE MASTER DATA'!E12:E311)</f>
        <v>Senior Sales Executive</v>
      </c>
      <c r="E12" s="26">
        <f>_xlfn.XLOOKUP(A12,'EMPLOYEE MASTER DATA'!A12:A311,'EMPLOYEE MASTER DATA'!F12:F311)</f>
        <v>43500</v>
      </c>
      <c r="F12" s="26">
        <f t="shared" si="1"/>
        <v>1812.5</v>
      </c>
      <c r="G12" s="4">
        <v>22</v>
      </c>
      <c r="H12" s="4">
        <f>_xlfn.XLOOKUP(A12,'MONTHLY ATTENDANCE SUMMARY'!A11:A310,'MONTHLY ATTENDANCE SUMMARY'!F11:F310)</f>
        <v>1</v>
      </c>
      <c r="I12" s="4">
        <f t="shared" si="2"/>
        <v>1</v>
      </c>
      <c r="J12" s="4">
        <f t="shared" si="3"/>
        <v>0</v>
      </c>
      <c r="K12" s="26">
        <f t="shared" si="4"/>
        <v>41687.5</v>
      </c>
      <c r="L12" s="26">
        <f t="shared" si="0"/>
        <v>5220</v>
      </c>
      <c r="M12" s="26">
        <f t="shared" si="5"/>
        <v>200</v>
      </c>
      <c r="N12" s="26">
        <f t="shared" si="6"/>
        <v>0</v>
      </c>
      <c r="O12" s="27">
        <f t="shared" si="7"/>
        <v>36267.5</v>
      </c>
    </row>
    <row r="13" spans="1:15" x14ac:dyDescent="0.3">
      <c r="A13" s="10" t="str">
        <v>EMP010</v>
      </c>
      <c r="B13" s="4" t="str">
        <v>Sanjay G</v>
      </c>
      <c r="C13" s="4" t="str">
        <f>_xlfn.XLOOKUP(A13,'EMPLOYEE MASTER DATA'!A13:A312,'EMPLOYEE MASTER DATA'!D13:D312)</f>
        <v>Procurement</v>
      </c>
      <c r="D13" s="4" t="str">
        <f>_xlfn.XLOOKUP(A13,'EMPLOYEE MASTER DATA'!A13:A312,'EMPLOYEE MASTER DATA'!E13:E312)</f>
        <v>Buyer</v>
      </c>
      <c r="E13" s="26">
        <f>_xlfn.XLOOKUP(A13,'EMPLOYEE MASTER DATA'!A13:A312,'EMPLOYEE MASTER DATA'!F13:F312)</f>
        <v>45000</v>
      </c>
      <c r="F13" s="26">
        <f t="shared" si="1"/>
        <v>1875</v>
      </c>
      <c r="G13" s="4">
        <v>22</v>
      </c>
      <c r="H13" s="4">
        <f>_xlfn.XLOOKUP(A13,'MONTHLY ATTENDANCE SUMMARY'!A12:A311,'MONTHLY ATTENDANCE SUMMARY'!F12:F311)</f>
        <v>1</v>
      </c>
      <c r="I13" s="4">
        <f t="shared" si="2"/>
        <v>1</v>
      </c>
      <c r="J13" s="4">
        <f t="shared" si="3"/>
        <v>0</v>
      </c>
      <c r="K13" s="26">
        <f t="shared" si="4"/>
        <v>43125</v>
      </c>
      <c r="L13" s="26">
        <f t="shared" si="0"/>
        <v>5400</v>
      </c>
      <c r="M13" s="26">
        <f t="shared" si="5"/>
        <v>200</v>
      </c>
      <c r="N13" s="26">
        <f t="shared" si="6"/>
        <v>0</v>
      </c>
      <c r="O13" s="27">
        <f t="shared" si="7"/>
        <v>37525</v>
      </c>
    </row>
    <row r="14" spans="1:15" x14ac:dyDescent="0.3">
      <c r="A14" s="10" t="str">
        <v>EMP011</v>
      </c>
      <c r="B14" s="4" t="str">
        <v>Vijay T</v>
      </c>
      <c r="C14" s="4" t="str">
        <f>_xlfn.XLOOKUP(A14,'EMPLOYEE MASTER DATA'!A14:A313,'EMPLOYEE MASTER DATA'!D14:D313)</f>
        <v>Accounts</v>
      </c>
      <c r="D14" s="4" t="str">
        <f>_xlfn.XLOOKUP(A14,'EMPLOYEE MASTER DATA'!A14:A313,'EMPLOYEE MASTER DATA'!E14:E313)</f>
        <v>Finance Executive</v>
      </c>
      <c r="E14" s="26">
        <f>_xlfn.XLOOKUP(A14,'EMPLOYEE MASTER DATA'!A14:A313,'EMPLOYEE MASTER DATA'!F14:F313)</f>
        <v>36000</v>
      </c>
      <c r="F14" s="26">
        <f t="shared" si="1"/>
        <v>1500</v>
      </c>
      <c r="G14" s="4">
        <v>21</v>
      </c>
      <c r="H14" s="4">
        <f>_xlfn.XLOOKUP(A14,'MONTHLY ATTENDANCE SUMMARY'!A13:A312,'MONTHLY ATTENDANCE SUMMARY'!F13:F312)</f>
        <v>1</v>
      </c>
      <c r="I14" s="4">
        <f t="shared" si="2"/>
        <v>1</v>
      </c>
      <c r="J14" s="4">
        <f t="shared" si="3"/>
        <v>0</v>
      </c>
      <c r="K14" s="26">
        <f t="shared" si="4"/>
        <v>33000</v>
      </c>
      <c r="L14" s="26">
        <f t="shared" si="0"/>
        <v>4320</v>
      </c>
      <c r="M14" s="26">
        <f t="shared" si="5"/>
        <v>200</v>
      </c>
      <c r="N14" s="26">
        <f t="shared" si="6"/>
        <v>0</v>
      </c>
      <c r="O14" s="27">
        <f t="shared" si="7"/>
        <v>28480</v>
      </c>
    </row>
    <row r="15" spans="1:15" x14ac:dyDescent="0.3">
      <c r="A15" s="10" t="str">
        <v>EMP012</v>
      </c>
      <c r="B15" s="4" t="str">
        <v>Mohan M</v>
      </c>
      <c r="C15" s="4" t="str">
        <f>_xlfn.XLOOKUP(A15,'EMPLOYEE MASTER DATA'!A15:A314,'EMPLOYEE MASTER DATA'!D15:D314)</f>
        <v>Admin</v>
      </c>
      <c r="D15" s="4" t="str">
        <f>_xlfn.XLOOKUP(A15,'EMPLOYEE MASTER DATA'!A15:A314,'EMPLOYEE MASTER DATA'!E15:E314)</f>
        <v>Office Administrator</v>
      </c>
      <c r="E15" s="26">
        <f>_xlfn.XLOOKUP(A15,'EMPLOYEE MASTER DATA'!A15:A314,'EMPLOYEE MASTER DATA'!F15:F314)</f>
        <v>28000</v>
      </c>
      <c r="F15" s="26">
        <f t="shared" si="1"/>
        <v>1166.6666666666667</v>
      </c>
      <c r="G15" s="4">
        <v>19</v>
      </c>
      <c r="H15" s="4">
        <f>_xlfn.XLOOKUP(A15,'MONTHLY ATTENDANCE SUMMARY'!A14:A313,'MONTHLY ATTENDANCE SUMMARY'!F14:F313)</f>
        <v>1</v>
      </c>
      <c r="I15" s="4">
        <f t="shared" si="2"/>
        <v>1</v>
      </c>
      <c r="J15" s="4">
        <f t="shared" si="3"/>
        <v>0</v>
      </c>
      <c r="K15" s="26">
        <f t="shared" si="4"/>
        <v>23333.333333333336</v>
      </c>
      <c r="L15" s="26">
        <f t="shared" si="0"/>
        <v>3360</v>
      </c>
      <c r="M15" s="26">
        <f t="shared" si="5"/>
        <v>200</v>
      </c>
      <c r="N15" s="26">
        <f t="shared" si="6"/>
        <v>0</v>
      </c>
      <c r="O15" s="27">
        <f t="shared" si="7"/>
        <v>19773.333333333336</v>
      </c>
    </row>
    <row r="16" spans="1:15" x14ac:dyDescent="0.3">
      <c r="A16" s="10" t="str">
        <v>EMP013</v>
      </c>
      <c r="B16" s="4" t="str">
        <v>Madhan Selvam</v>
      </c>
      <c r="C16" s="4" t="str">
        <f>_xlfn.XLOOKUP(A16,'EMPLOYEE MASTER DATA'!A16:A315,'EMPLOYEE MASTER DATA'!D16:D315)</f>
        <v>Accounts</v>
      </c>
      <c r="D16" s="4" t="str">
        <f>_xlfn.XLOOKUP(A16,'EMPLOYEE MASTER DATA'!A16:A315,'EMPLOYEE MASTER DATA'!E16:E315)</f>
        <v>Senior Accountant</v>
      </c>
      <c r="E16" s="26">
        <f>_xlfn.XLOOKUP(A16,'EMPLOYEE MASTER DATA'!A16:A315,'EMPLOYEE MASTER DATA'!F16:F315)</f>
        <v>40500</v>
      </c>
      <c r="F16" s="26">
        <f t="shared" si="1"/>
        <v>1687.5</v>
      </c>
      <c r="G16" s="4">
        <v>21</v>
      </c>
      <c r="H16" s="4">
        <f>_xlfn.XLOOKUP(A16,'MONTHLY ATTENDANCE SUMMARY'!A15:A314,'MONTHLY ATTENDANCE SUMMARY'!F15:F314)</f>
        <v>2</v>
      </c>
      <c r="I16" s="4">
        <f t="shared" si="2"/>
        <v>1</v>
      </c>
      <c r="J16" s="4">
        <f t="shared" si="3"/>
        <v>1</v>
      </c>
      <c r="K16" s="26">
        <f t="shared" si="4"/>
        <v>37968.75</v>
      </c>
      <c r="L16" s="26">
        <f t="shared" si="0"/>
        <v>4860</v>
      </c>
      <c r="M16" s="26">
        <f t="shared" si="5"/>
        <v>200</v>
      </c>
      <c r="N16" s="26">
        <f t="shared" si="6"/>
        <v>0</v>
      </c>
      <c r="O16" s="27">
        <f t="shared" si="7"/>
        <v>32908.75</v>
      </c>
    </row>
    <row r="17" spans="1:15" x14ac:dyDescent="0.3">
      <c r="A17" s="10" t="str">
        <v>EMP014</v>
      </c>
      <c r="B17" s="4" t="str">
        <v>Vignesh P</v>
      </c>
      <c r="C17" s="4" t="str">
        <f>_xlfn.XLOOKUP(A17,'EMPLOYEE MASTER DATA'!A17:A316,'EMPLOYEE MASTER DATA'!D17:D316)</f>
        <v>IT</v>
      </c>
      <c r="D17" s="4" t="str">
        <f>_xlfn.XLOOKUP(A17,'EMPLOYEE MASTER DATA'!A17:A316,'EMPLOYEE MASTER DATA'!E17:E316)</f>
        <v>Network Engineer</v>
      </c>
      <c r="E17" s="26">
        <f>_xlfn.XLOOKUP(A17,'EMPLOYEE MASTER DATA'!A17:A316,'EMPLOYEE MASTER DATA'!F17:F316)</f>
        <v>37000</v>
      </c>
      <c r="F17" s="26">
        <f t="shared" si="1"/>
        <v>1541.6666666666667</v>
      </c>
      <c r="G17" s="4">
        <v>21</v>
      </c>
      <c r="H17" s="4">
        <f>_xlfn.XLOOKUP(A17,'MONTHLY ATTENDANCE SUMMARY'!A16:A315,'MONTHLY ATTENDANCE SUMMARY'!F16:F315)</f>
        <v>1</v>
      </c>
      <c r="I17" s="4">
        <f t="shared" si="2"/>
        <v>1</v>
      </c>
      <c r="J17" s="4">
        <f t="shared" si="3"/>
        <v>0</v>
      </c>
      <c r="K17" s="26">
        <f t="shared" si="4"/>
        <v>33916.666666666672</v>
      </c>
      <c r="L17" s="26">
        <f t="shared" si="0"/>
        <v>4440</v>
      </c>
      <c r="M17" s="26">
        <f t="shared" si="5"/>
        <v>200</v>
      </c>
      <c r="N17" s="26">
        <f t="shared" si="6"/>
        <v>0</v>
      </c>
      <c r="O17" s="27">
        <f t="shared" si="7"/>
        <v>29276.666666666672</v>
      </c>
    </row>
    <row r="18" spans="1:15" x14ac:dyDescent="0.3">
      <c r="A18" s="10" t="str">
        <v>EMP015</v>
      </c>
      <c r="B18" s="4" t="str">
        <v>Yogesh Babu</v>
      </c>
      <c r="C18" s="4" t="str">
        <f>_xlfn.XLOOKUP(A18,'EMPLOYEE MASTER DATA'!A18:A317,'EMPLOYEE MASTER DATA'!D18:D317)</f>
        <v>Admin</v>
      </c>
      <c r="D18" s="4" t="str">
        <f>_xlfn.XLOOKUP(A18,'EMPLOYEE MASTER DATA'!A18:A317,'EMPLOYEE MASTER DATA'!E18:E317)</f>
        <v>Office Administrator</v>
      </c>
      <c r="E18" s="26">
        <f>_xlfn.XLOOKUP(A18,'EMPLOYEE MASTER DATA'!A18:A317,'EMPLOYEE MASTER DATA'!F18:F317)</f>
        <v>32000</v>
      </c>
      <c r="F18" s="26">
        <f t="shared" si="1"/>
        <v>1333.3333333333333</v>
      </c>
      <c r="G18" s="4">
        <v>20</v>
      </c>
      <c r="H18" s="4">
        <f>_xlfn.XLOOKUP(A18,'MONTHLY ATTENDANCE SUMMARY'!A17:A316,'MONTHLY ATTENDANCE SUMMARY'!F17:F316)</f>
        <v>1</v>
      </c>
      <c r="I18" s="4">
        <f t="shared" si="2"/>
        <v>1</v>
      </c>
      <c r="J18" s="4">
        <f t="shared" si="3"/>
        <v>0</v>
      </c>
      <c r="K18" s="26">
        <f t="shared" si="4"/>
        <v>28000</v>
      </c>
      <c r="L18" s="26">
        <f t="shared" si="0"/>
        <v>3840</v>
      </c>
      <c r="M18" s="26">
        <f t="shared" si="5"/>
        <v>200</v>
      </c>
      <c r="N18" s="26">
        <f t="shared" si="6"/>
        <v>0</v>
      </c>
      <c r="O18" s="27">
        <f t="shared" si="7"/>
        <v>23960</v>
      </c>
    </row>
    <row r="19" spans="1:15" x14ac:dyDescent="0.3">
      <c r="A19" s="10" t="str">
        <v>EMP016</v>
      </c>
      <c r="B19" s="4" t="str">
        <v>Lokesh R</v>
      </c>
      <c r="C19" s="4" t="str">
        <f>_xlfn.XLOOKUP(A19,'EMPLOYEE MASTER DATA'!A19:A318,'EMPLOYEE MASTER DATA'!D19:D318)</f>
        <v>Procurement</v>
      </c>
      <c r="D19" s="4" t="str">
        <f>_xlfn.XLOOKUP(A19,'EMPLOYEE MASTER DATA'!A19:A318,'EMPLOYEE MASTER DATA'!E19:E318)</f>
        <v>Sourcing Executive</v>
      </c>
      <c r="E19" s="26">
        <f>_xlfn.XLOOKUP(A19,'EMPLOYEE MASTER DATA'!A19:A318,'EMPLOYEE MASTER DATA'!F19:F318)</f>
        <v>38000</v>
      </c>
      <c r="F19" s="26">
        <f t="shared" si="1"/>
        <v>1583.3333333333333</v>
      </c>
      <c r="G19" s="4">
        <v>21</v>
      </c>
      <c r="H19" s="4">
        <f>_xlfn.XLOOKUP(A19,'MONTHLY ATTENDANCE SUMMARY'!A18:A317,'MONTHLY ATTENDANCE SUMMARY'!F18:F317)</f>
        <v>1</v>
      </c>
      <c r="I19" s="4">
        <f t="shared" si="2"/>
        <v>1</v>
      </c>
      <c r="J19" s="4">
        <f t="shared" si="3"/>
        <v>0</v>
      </c>
      <c r="K19" s="26">
        <f t="shared" si="4"/>
        <v>34833.333333333328</v>
      </c>
      <c r="L19" s="26">
        <f t="shared" si="0"/>
        <v>4560</v>
      </c>
      <c r="M19" s="26">
        <f t="shared" si="5"/>
        <v>200</v>
      </c>
      <c r="N19" s="26">
        <f t="shared" si="6"/>
        <v>0</v>
      </c>
      <c r="O19" s="27">
        <f t="shared" si="7"/>
        <v>30073.333333333328</v>
      </c>
    </row>
    <row r="20" spans="1:15" x14ac:dyDescent="0.3">
      <c r="A20" s="10" t="str">
        <v>EMP017</v>
      </c>
      <c r="B20" s="4" t="str">
        <v>Vignesh Kannan</v>
      </c>
      <c r="C20" s="4" t="str">
        <f>_xlfn.XLOOKUP(A20,'EMPLOYEE MASTER DATA'!A20:A319,'EMPLOYEE MASTER DATA'!D20:D319)</f>
        <v>Business Development</v>
      </c>
      <c r="D20" s="4" t="str">
        <f>_xlfn.XLOOKUP(A20,'EMPLOYEE MASTER DATA'!A20:A319,'EMPLOYEE MASTER DATA'!E20:E319)</f>
        <v>Corporate Sales Executive</v>
      </c>
      <c r="E20" s="26">
        <f>_xlfn.XLOOKUP(A20,'EMPLOYEE MASTER DATA'!A20:A319,'EMPLOYEE MASTER DATA'!F20:F319)</f>
        <v>43000</v>
      </c>
      <c r="F20" s="26">
        <f t="shared" si="1"/>
        <v>1791.6666666666667</v>
      </c>
      <c r="G20" s="4">
        <v>20</v>
      </c>
      <c r="H20" s="4">
        <f>_xlfn.XLOOKUP(A20,'MONTHLY ATTENDANCE SUMMARY'!A19:A318,'MONTHLY ATTENDANCE SUMMARY'!F19:F318)</f>
        <v>2</v>
      </c>
      <c r="I20" s="4">
        <f t="shared" si="2"/>
        <v>1</v>
      </c>
      <c r="J20" s="4">
        <f t="shared" si="3"/>
        <v>1</v>
      </c>
      <c r="K20" s="26">
        <f t="shared" si="4"/>
        <v>38520.833333333336</v>
      </c>
      <c r="L20" s="26">
        <f t="shared" si="0"/>
        <v>5160</v>
      </c>
      <c r="M20" s="26">
        <f t="shared" si="5"/>
        <v>200</v>
      </c>
      <c r="N20" s="26">
        <f t="shared" si="6"/>
        <v>0</v>
      </c>
      <c r="O20" s="27">
        <f t="shared" si="7"/>
        <v>33160.833333333336</v>
      </c>
    </row>
    <row r="21" spans="1:15" x14ac:dyDescent="0.3">
      <c r="A21" s="10" t="str">
        <v>EMP018</v>
      </c>
      <c r="B21" s="4" t="str">
        <v>Naveen Prasad</v>
      </c>
      <c r="C21" s="4" t="str">
        <f>_xlfn.XLOOKUP(A21,'EMPLOYEE MASTER DATA'!A21:A320,'EMPLOYEE MASTER DATA'!D21:D320)</f>
        <v>Admin</v>
      </c>
      <c r="D21" s="4" t="str">
        <f>_xlfn.XLOOKUP(A21,'EMPLOYEE MASTER DATA'!A21:A320,'EMPLOYEE MASTER DATA'!E21:E320)</f>
        <v>Admin Executive</v>
      </c>
      <c r="E21" s="26">
        <f>_xlfn.XLOOKUP(A21,'EMPLOYEE MASTER DATA'!A21:A320,'EMPLOYEE MASTER DATA'!F21:F320)</f>
        <v>27500</v>
      </c>
      <c r="F21" s="26">
        <f t="shared" si="1"/>
        <v>1145.8333333333333</v>
      </c>
      <c r="G21" s="4">
        <v>19</v>
      </c>
      <c r="H21" s="4">
        <f>_xlfn.XLOOKUP(A21,'MONTHLY ATTENDANCE SUMMARY'!A20:A319,'MONTHLY ATTENDANCE SUMMARY'!F20:F319)</f>
        <v>1</v>
      </c>
      <c r="I21" s="4">
        <f t="shared" si="2"/>
        <v>1</v>
      </c>
      <c r="J21" s="4">
        <f t="shared" si="3"/>
        <v>0</v>
      </c>
      <c r="K21" s="26">
        <f t="shared" si="4"/>
        <v>22916.666666666664</v>
      </c>
      <c r="L21" s="26">
        <f t="shared" si="0"/>
        <v>3300</v>
      </c>
      <c r="M21" s="26">
        <f t="shared" si="5"/>
        <v>200</v>
      </c>
      <c r="N21" s="26">
        <f t="shared" si="6"/>
        <v>0</v>
      </c>
      <c r="O21" s="27">
        <f t="shared" si="7"/>
        <v>19416.666666666664</v>
      </c>
    </row>
    <row r="22" spans="1:15" x14ac:dyDescent="0.3">
      <c r="A22" s="10" t="str">
        <v>EMP019</v>
      </c>
      <c r="B22" s="4" t="str">
        <v>Arun N</v>
      </c>
      <c r="C22" s="4" t="str">
        <f>_xlfn.XLOOKUP(A22,'EMPLOYEE MASTER DATA'!A22:A321,'EMPLOYEE MASTER DATA'!D22:D321)</f>
        <v>Maintenance</v>
      </c>
      <c r="D22" s="4" t="str">
        <f>_xlfn.XLOOKUP(A22,'EMPLOYEE MASTER DATA'!A22:A321,'EMPLOYEE MASTER DATA'!E22:E321)</f>
        <v>Mechanical Technician</v>
      </c>
      <c r="E22" s="26">
        <f>_xlfn.XLOOKUP(A22,'EMPLOYEE MASTER DATA'!A22:A321,'EMPLOYEE MASTER DATA'!F22:F321)</f>
        <v>30500</v>
      </c>
      <c r="F22" s="26">
        <f t="shared" si="1"/>
        <v>1270.8333333333333</v>
      </c>
      <c r="G22" s="4">
        <v>22</v>
      </c>
      <c r="H22" s="4">
        <f>_xlfn.XLOOKUP(A22,'MONTHLY ATTENDANCE SUMMARY'!A21:A320,'MONTHLY ATTENDANCE SUMMARY'!F21:F320)</f>
        <v>2</v>
      </c>
      <c r="I22" s="4">
        <f t="shared" si="2"/>
        <v>1</v>
      </c>
      <c r="J22" s="4">
        <f t="shared" si="3"/>
        <v>1</v>
      </c>
      <c r="K22" s="26">
        <f t="shared" si="4"/>
        <v>29864.583333333332</v>
      </c>
      <c r="L22" s="26">
        <f t="shared" si="0"/>
        <v>3660</v>
      </c>
      <c r="M22" s="26">
        <f t="shared" si="5"/>
        <v>200</v>
      </c>
      <c r="N22" s="26">
        <f t="shared" si="6"/>
        <v>0</v>
      </c>
      <c r="O22" s="27">
        <f t="shared" si="7"/>
        <v>26004.583333333332</v>
      </c>
    </row>
    <row r="23" spans="1:15" x14ac:dyDescent="0.3">
      <c r="A23" s="10" t="str">
        <v>EMP020</v>
      </c>
      <c r="B23" s="4" t="str">
        <v>Karthik Narayanan</v>
      </c>
      <c r="C23" s="4" t="str">
        <f>_xlfn.XLOOKUP(A23,'EMPLOYEE MASTER DATA'!A23:A322,'EMPLOYEE MASTER DATA'!D23:D322)</f>
        <v>HR</v>
      </c>
      <c r="D23" s="4" t="str">
        <f>_xlfn.XLOOKUP(A23,'EMPLOYEE MASTER DATA'!A23:A322,'EMPLOYEE MASTER DATA'!E23:E322)</f>
        <v>Recruiter</v>
      </c>
      <c r="E23" s="26">
        <f>_xlfn.XLOOKUP(A23,'EMPLOYEE MASTER DATA'!A23:A322,'EMPLOYEE MASTER DATA'!F23:F322)</f>
        <v>26500</v>
      </c>
      <c r="F23" s="26">
        <f t="shared" si="1"/>
        <v>1104.1666666666667</v>
      </c>
      <c r="G23" s="4">
        <v>19</v>
      </c>
      <c r="H23" s="4">
        <f>_xlfn.XLOOKUP(A23,'MONTHLY ATTENDANCE SUMMARY'!A22:A321,'MONTHLY ATTENDANCE SUMMARY'!F22:F321)</f>
        <v>1</v>
      </c>
      <c r="I23" s="4">
        <f t="shared" si="2"/>
        <v>1</v>
      </c>
      <c r="J23" s="4">
        <f t="shared" si="3"/>
        <v>0</v>
      </c>
      <c r="K23" s="26">
        <f t="shared" si="4"/>
        <v>22083.333333333336</v>
      </c>
      <c r="L23" s="26">
        <f t="shared" si="0"/>
        <v>3180</v>
      </c>
      <c r="M23" s="26">
        <f t="shared" si="5"/>
        <v>200</v>
      </c>
      <c r="N23" s="26">
        <f t="shared" si="6"/>
        <v>0</v>
      </c>
      <c r="O23" s="27">
        <f t="shared" si="7"/>
        <v>18703.333333333336</v>
      </c>
    </row>
    <row r="24" spans="1:15" x14ac:dyDescent="0.3">
      <c r="A24" s="10" t="str">
        <v>EMP021</v>
      </c>
      <c r="B24" s="4" t="str">
        <v>Arun Raj</v>
      </c>
      <c r="C24" s="4" t="str">
        <f>_xlfn.XLOOKUP(A24,'EMPLOYEE MASTER DATA'!A24:A323,'EMPLOYEE MASTER DATA'!D24:D323)</f>
        <v>Business Development</v>
      </c>
      <c r="D24" s="4" t="str">
        <f>_xlfn.XLOOKUP(A24,'EMPLOYEE MASTER DATA'!A24:A323,'EMPLOYEE MASTER DATA'!E24:E323)</f>
        <v>Growth Executive</v>
      </c>
      <c r="E24" s="26">
        <f>_xlfn.XLOOKUP(A24,'EMPLOYEE MASTER DATA'!A24:A323,'EMPLOYEE MASTER DATA'!F24:F323)</f>
        <v>39000</v>
      </c>
      <c r="F24" s="26">
        <f t="shared" si="1"/>
        <v>1625</v>
      </c>
      <c r="G24" s="4">
        <v>21</v>
      </c>
      <c r="H24" s="4">
        <f>_xlfn.XLOOKUP(A24,'MONTHLY ATTENDANCE SUMMARY'!A23:A322,'MONTHLY ATTENDANCE SUMMARY'!F23:F322)</f>
        <v>2</v>
      </c>
      <c r="I24" s="4">
        <f t="shared" si="2"/>
        <v>1</v>
      </c>
      <c r="J24" s="4">
        <f t="shared" si="3"/>
        <v>1</v>
      </c>
      <c r="K24" s="26">
        <f t="shared" si="4"/>
        <v>36562.5</v>
      </c>
      <c r="L24" s="26">
        <f t="shared" si="0"/>
        <v>4680</v>
      </c>
      <c r="M24" s="26">
        <f t="shared" si="5"/>
        <v>200</v>
      </c>
      <c r="N24" s="26">
        <f t="shared" si="6"/>
        <v>0</v>
      </c>
      <c r="O24" s="27">
        <f t="shared" si="7"/>
        <v>31682.5</v>
      </c>
    </row>
    <row r="25" spans="1:15" x14ac:dyDescent="0.3">
      <c r="A25" s="10" t="str">
        <v>EMP022</v>
      </c>
      <c r="B25" s="4" t="str">
        <v>Madhan Raj</v>
      </c>
      <c r="C25" s="4" t="str">
        <f>_xlfn.XLOOKUP(A25,'EMPLOYEE MASTER DATA'!A25:A324,'EMPLOYEE MASTER DATA'!D25:D324)</f>
        <v>Business Development</v>
      </c>
      <c r="D25" s="4" t="str">
        <f>_xlfn.XLOOKUP(A25,'EMPLOYEE MASTER DATA'!A25:A324,'EMPLOYEE MASTER DATA'!E25:E324)</f>
        <v>Growth Executive</v>
      </c>
      <c r="E25" s="26">
        <f>_xlfn.XLOOKUP(A25,'EMPLOYEE MASTER DATA'!A25:A324,'EMPLOYEE MASTER DATA'!F25:F324)</f>
        <v>41500</v>
      </c>
      <c r="F25" s="26">
        <f t="shared" si="1"/>
        <v>1729.1666666666667</v>
      </c>
      <c r="G25" s="4">
        <v>21</v>
      </c>
      <c r="H25" s="4">
        <f>_xlfn.XLOOKUP(A25,'MONTHLY ATTENDANCE SUMMARY'!A24:A323,'MONTHLY ATTENDANCE SUMMARY'!F24:F323)</f>
        <v>2</v>
      </c>
      <c r="I25" s="4">
        <f t="shared" si="2"/>
        <v>1</v>
      </c>
      <c r="J25" s="4">
        <f t="shared" si="3"/>
        <v>1</v>
      </c>
      <c r="K25" s="26">
        <f t="shared" si="4"/>
        <v>38906.25</v>
      </c>
      <c r="L25" s="26">
        <f t="shared" si="0"/>
        <v>4980</v>
      </c>
      <c r="M25" s="26">
        <f t="shared" si="5"/>
        <v>200</v>
      </c>
      <c r="N25" s="26">
        <f t="shared" si="6"/>
        <v>0</v>
      </c>
      <c r="O25" s="27">
        <f t="shared" si="7"/>
        <v>33726.25</v>
      </c>
    </row>
    <row r="26" spans="1:15" x14ac:dyDescent="0.3">
      <c r="A26" s="10" t="str">
        <v>EMP023</v>
      </c>
      <c r="B26" s="4" t="str">
        <v>Praveen Selvam</v>
      </c>
      <c r="C26" s="4" t="str">
        <f>_xlfn.XLOOKUP(A26,'EMPLOYEE MASTER DATA'!A26:A325,'EMPLOYEE MASTER DATA'!D26:D325)</f>
        <v>Front Office</v>
      </c>
      <c r="D26" s="4" t="str">
        <f>_xlfn.XLOOKUP(A26,'EMPLOYEE MASTER DATA'!A26:A325,'EMPLOYEE MASTER DATA'!E26:E325)</f>
        <v>Guest Relations Executive</v>
      </c>
      <c r="E26" s="26">
        <f>_xlfn.XLOOKUP(A26,'EMPLOYEE MASTER DATA'!A26:A325,'EMPLOYEE MASTER DATA'!F26:F325)</f>
        <v>30000</v>
      </c>
      <c r="F26" s="26">
        <f t="shared" si="1"/>
        <v>1250</v>
      </c>
      <c r="G26" s="4">
        <v>18</v>
      </c>
      <c r="H26" s="4">
        <f>_xlfn.XLOOKUP(A26,'MONTHLY ATTENDANCE SUMMARY'!A25:A324,'MONTHLY ATTENDANCE SUMMARY'!F25:F324)</f>
        <v>2</v>
      </c>
      <c r="I26" s="4">
        <f t="shared" si="2"/>
        <v>1</v>
      </c>
      <c r="J26" s="4">
        <f t="shared" si="3"/>
        <v>1</v>
      </c>
      <c r="K26" s="26">
        <f t="shared" si="4"/>
        <v>24375</v>
      </c>
      <c r="L26" s="26">
        <f t="shared" si="0"/>
        <v>3600</v>
      </c>
      <c r="M26" s="26">
        <f t="shared" si="5"/>
        <v>200</v>
      </c>
      <c r="N26" s="26">
        <f t="shared" si="6"/>
        <v>0</v>
      </c>
      <c r="O26" s="27">
        <f t="shared" si="7"/>
        <v>20575</v>
      </c>
    </row>
    <row r="27" spans="1:15" x14ac:dyDescent="0.3">
      <c r="A27" s="10" t="str">
        <v>EMP024</v>
      </c>
      <c r="B27" s="4" t="str">
        <v>Harish Raja</v>
      </c>
      <c r="C27" s="4" t="str">
        <f>_xlfn.XLOOKUP(A27,'EMPLOYEE MASTER DATA'!A27:A326,'EMPLOYEE MASTER DATA'!D27:D326)</f>
        <v>Business Development</v>
      </c>
      <c r="D27" s="4" t="str">
        <f>_xlfn.XLOOKUP(A27,'EMPLOYEE MASTER DATA'!A27:A326,'EMPLOYEE MASTER DATA'!E27:E326)</f>
        <v>Growth Executive</v>
      </c>
      <c r="E27" s="26">
        <f>_xlfn.XLOOKUP(A27,'EMPLOYEE MASTER DATA'!A27:A326,'EMPLOYEE MASTER DATA'!F27:F326)</f>
        <v>35500</v>
      </c>
      <c r="F27" s="26">
        <f t="shared" si="1"/>
        <v>1479.1666666666667</v>
      </c>
      <c r="G27" s="4">
        <v>21</v>
      </c>
      <c r="H27" s="4">
        <f>_xlfn.XLOOKUP(A27,'MONTHLY ATTENDANCE SUMMARY'!A26:A325,'MONTHLY ATTENDANCE SUMMARY'!F26:F325)</f>
        <v>1</v>
      </c>
      <c r="I27" s="4">
        <f t="shared" si="2"/>
        <v>1</v>
      </c>
      <c r="J27" s="4">
        <f t="shared" si="3"/>
        <v>0</v>
      </c>
      <c r="K27" s="26">
        <f t="shared" si="4"/>
        <v>32541.666666666668</v>
      </c>
      <c r="L27" s="26">
        <f t="shared" si="0"/>
        <v>4260</v>
      </c>
      <c r="M27" s="26">
        <f t="shared" si="5"/>
        <v>200</v>
      </c>
      <c r="N27" s="26">
        <f t="shared" si="6"/>
        <v>0</v>
      </c>
      <c r="O27" s="27">
        <f t="shared" si="7"/>
        <v>28081.666666666668</v>
      </c>
    </row>
    <row r="28" spans="1:15" x14ac:dyDescent="0.3">
      <c r="A28" s="10" t="str">
        <v>EMP025</v>
      </c>
      <c r="B28" s="4" t="str">
        <v>Harish V</v>
      </c>
      <c r="C28" s="4" t="str">
        <f>_xlfn.XLOOKUP(A28,'EMPLOYEE MASTER DATA'!A28:A327,'EMPLOYEE MASTER DATA'!D28:D327)</f>
        <v>Production</v>
      </c>
      <c r="D28" s="4" t="str">
        <f>_xlfn.XLOOKUP(A28,'EMPLOYEE MASTER DATA'!A28:A327,'EMPLOYEE MASTER DATA'!E28:E327)</f>
        <v>Production Supervisor</v>
      </c>
      <c r="E28" s="26">
        <f>_xlfn.XLOOKUP(A28,'EMPLOYEE MASTER DATA'!A28:A327,'EMPLOYEE MASTER DATA'!F28:F327)</f>
        <v>35500</v>
      </c>
      <c r="F28" s="26">
        <f t="shared" si="1"/>
        <v>1479.1666666666667</v>
      </c>
      <c r="G28" s="4">
        <v>18</v>
      </c>
      <c r="H28" s="4">
        <f>_xlfn.XLOOKUP(A28,'MONTHLY ATTENDANCE SUMMARY'!A27:A326,'MONTHLY ATTENDANCE SUMMARY'!F27:F326)</f>
        <v>2</v>
      </c>
      <c r="I28" s="4">
        <f t="shared" si="2"/>
        <v>1</v>
      </c>
      <c r="J28" s="4">
        <f t="shared" si="3"/>
        <v>1</v>
      </c>
      <c r="K28" s="26">
        <f t="shared" si="4"/>
        <v>28843.75</v>
      </c>
      <c r="L28" s="26">
        <f t="shared" si="0"/>
        <v>4260</v>
      </c>
      <c r="M28" s="26">
        <f t="shared" si="5"/>
        <v>200</v>
      </c>
      <c r="N28" s="26">
        <f t="shared" si="6"/>
        <v>0</v>
      </c>
      <c r="O28" s="27">
        <f t="shared" si="7"/>
        <v>24383.75</v>
      </c>
    </row>
    <row r="29" spans="1:15" x14ac:dyDescent="0.3">
      <c r="A29" s="10" t="str">
        <v>EMP026</v>
      </c>
      <c r="B29" s="4" t="str">
        <v>Arun Murugan</v>
      </c>
      <c r="C29" s="4" t="str">
        <f>_xlfn.XLOOKUP(A29,'EMPLOYEE MASTER DATA'!A29:A328,'EMPLOYEE MASTER DATA'!D29:D328)</f>
        <v>Procurement</v>
      </c>
      <c r="D29" s="4" t="str">
        <f>_xlfn.XLOOKUP(A29,'EMPLOYEE MASTER DATA'!A29:A328,'EMPLOYEE MASTER DATA'!E29:E328)</f>
        <v>Purchase Executive</v>
      </c>
      <c r="E29" s="26">
        <f>_xlfn.XLOOKUP(A29,'EMPLOYEE MASTER DATA'!A29:A328,'EMPLOYEE MASTER DATA'!F29:F328)</f>
        <v>34000</v>
      </c>
      <c r="F29" s="26">
        <f t="shared" si="1"/>
        <v>1416.6666666666667</v>
      </c>
      <c r="G29" s="4">
        <v>19</v>
      </c>
      <c r="H29" s="4">
        <f>_xlfn.XLOOKUP(A29,'MONTHLY ATTENDANCE SUMMARY'!A28:A327,'MONTHLY ATTENDANCE SUMMARY'!F28:F327)</f>
        <v>1</v>
      </c>
      <c r="I29" s="4">
        <f t="shared" si="2"/>
        <v>1</v>
      </c>
      <c r="J29" s="4">
        <f t="shared" si="3"/>
        <v>0</v>
      </c>
      <c r="K29" s="26">
        <f t="shared" si="4"/>
        <v>28333.333333333336</v>
      </c>
      <c r="L29" s="26">
        <f t="shared" si="0"/>
        <v>4080</v>
      </c>
      <c r="M29" s="26">
        <f t="shared" si="5"/>
        <v>200</v>
      </c>
      <c r="N29" s="26">
        <f t="shared" si="6"/>
        <v>0</v>
      </c>
      <c r="O29" s="27">
        <f t="shared" si="7"/>
        <v>24053.333333333336</v>
      </c>
    </row>
    <row r="30" spans="1:15" x14ac:dyDescent="0.3">
      <c r="A30" s="10" t="str">
        <v>EMP027</v>
      </c>
      <c r="B30" s="4" t="str">
        <v>Prakash N</v>
      </c>
      <c r="C30" s="4" t="str">
        <f>_xlfn.XLOOKUP(A30,'EMPLOYEE MASTER DATA'!A30:A329,'EMPLOYEE MASTER DATA'!D30:D329)</f>
        <v>Maintenance</v>
      </c>
      <c r="D30" s="4" t="str">
        <f>_xlfn.XLOOKUP(A30,'EMPLOYEE MASTER DATA'!A30:A329,'EMPLOYEE MASTER DATA'!E30:E329)</f>
        <v>Electrical Technician</v>
      </c>
      <c r="E30" s="26">
        <f>_xlfn.XLOOKUP(A30,'EMPLOYEE MASTER DATA'!A30:A329,'EMPLOYEE MASTER DATA'!F30:F329)</f>
        <v>29000</v>
      </c>
      <c r="F30" s="26">
        <f t="shared" si="1"/>
        <v>1208.3333333333333</v>
      </c>
      <c r="G30" s="4">
        <v>21</v>
      </c>
      <c r="H30" s="4">
        <f>_xlfn.XLOOKUP(A30,'MONTHLY ATTENDANCE SUMMARY'!A29:A328,'MONTHLY ATTENDANCE SUMMARY'!F29:F328)</f>
        <v>2</v>
      </c>
      <c r="I30" s="4">
        <f t="shared" si="2"/>
        <v>1</v>
      </c>
      <c r="J30" s="4">
        <f t="shared" si="3"/>
        <v>1</v>
      </c>
      <c r="K30" s="26">
        <f t="shared" si="4"/>
        <v>27187.5</v>
      </c>
      <c r="L30" s="26">
        <f t="shared" si="0"/>
        <v>3480</v>
      </c>
      <c r="M30" s="26">
        <f t="shared" si="5"/>
        <v>200</v>
      </c>
      <c r="N30" s="26">
        <f t="shared" si="6"/>
        <v>0</v>
      </c>
      <c r="O30" s="27">
        <f t="shared" si="7"/>
        <v>23507.5</v>
      </c>
    </row>
    <row r="31" spans="1:15" x14ac:dyDescent="0.3">
      <c r="A31" s="10" t="str">
        <v>EMP028</v>
      </c>
      <c r="B31" s="4" t="str">
        <v>Vinoth V</v>
      </c>
      <c r="C31" s="4" t="str">
        <f>_xlfn.XLOOKUP(A31,'EMPLOYEE MASTER DATA'!A31:A330,'EMPLOYEE MASTER DATA'!D31:D330)</f>
        <v>Sales</v>
      </c>
      <c r="D31" s="4" t="str">
        <f>_xlfn.XLOOKUP(A31,'EMPLOYEE MASTER DATA'!A31:A330,'EMPLOYEE MASTER DATA'!E31:E330)</f>
        <v>Key Account Executive</v>
      </c>
      <c r="E31" s="26">
        <f>_xlfn.XLOOKUP(A31,'EMPLOYEE MASTER DATA'!A31:A330,'EMPLOYEE MASTER DATA'!F31:F330)</f>
        <v>41500</v>
      </c>
      <c r="F31" s="26">
        <f t="shared" si="1"/>
        <v>1729.1666666666667</v>
      </c>
      <c r="G31" s="4">
        <v>20</v>
      </c>
      <c r="H31" s="4">
        <f>_xlfn.XLOOKUP(A31,'MONTHLY ATTENDANCE SUMMARY'!A30:A329,'MONTHLY ATTENDANCE SUMMARY'!F30:F329)</f>
        <v>1</v>
      </c>
      <c r="I31" s="4">
        <f t="shared" si="2"/>
        <v>1</v>
      </c>
      <c r="J31" s="4">
        <f t="shared" si="3"/>
        <v>0</v>
      </c>
      <c r="K31" s="26">
        <f t="shared" si="4"/>
        <v>36312.5</v>
      </c>
      <c r="L31" s="26">
        <f t="shared" si="0"/>
        <v>4980</v>
      </c>
      <c r="M31" s="26">
        <f t="shared" si="5"/>
        <v>200</v>
      </c>
      <c r="N31" s="26">
        <f t="shared" si="6"/>
        <v>0</v>
      </c>
      <c r="O31" s="27">
        <f t="shared" si="7"/>
        <v>31132.5</v>
      </c>
    </row>
    <row r="32" spans="1:15" x14ac:dyDescent="0.3">
      <c r="A32" s="10" t="str">
        <v>EMP029</v>
      </c>
      <c r="B32" s="4" t="str">
        <v>Harish N</v>
      </c>
      <c r="C32" s="4" t="str">
        <f>_xlfn.XLOOKUP(A32,'EMPLOYEE MASTER DATA'!A32:A331,'EMPLOYEE MASTER DATA'!D32:D331)</f>
        <v>Accounts</v>
      </c>
      <c r="D32" s="4" t="str">
        <f>_xlfn.XLOOKUP(A32,'EMPLOYEE MASTER DATA'!A32:A331,'EMPLOYEE MASTER DATA'!E32:E331)</f>
        <v>Accountant</v>
      </c>
      <c r="E32" s="26">
        <f>_xlfn.XLOOKUP(A32,'EMPLOYEE MASTER DATA'!A32:A331,'EMPLOYEE MASTER DATA'!F32:F331)</f>
        <v>33500</v>
      </c>
      <c r="F32" s="26">
        <f t="shared" si="1"/>
        <v>1395.8333333333333</v>
      </c>
      <c r="G32" s="4">
        <v>22</v>
      </c>
      <c r="H32" s="4">
        <f>_xlfn.XLOOKUP(A32,'MONTHLY ATTENDANCE SUMMARY'!A31:A330,'MONTHLY ATTENDANCE SUMMARY'!F31:F330)</f>
        <v>1</v>
      </c>
      <c r="I32" s="4">
        <f t="shared" si="2"/>
        <v>1</v>
      </c>
      <c r="J32" s="4">
        <f t="shared" si="3"/>
        <v>0</v>
      </c>
      <c r="K32" s="26">
        <f t="shared" si="4"/>
        <v>32104.166666666664</v>
      </c>
      <c r="L32" s="26">
        <f t="shared" si="0"/>
        <v>4020</v>
      </c>
      <c r="M32" s="26">
        <f t="shared" si="5"/>
        <v>200</v>
      </c>
      <c r="N32" s="26">
        <f t="shared" si="6"/>
        <v>0</v>
      </c>
      <c r="O32" s="27">
        <f t="shared" si="7"/>
        <v>27884.166666666664</v>
      </c>
    </row>
    <row r="33" spans="1:15" x14ac:dyDescent="0.3">
      <c r="A33" s="10" t="str">
        <v>EMP030</v>
      </c>
      <c r="B33" s="4" t="str">
        <v>Yuvaraj Murugan</v>
      </c>
      <c r="C33" s="4" t="str">
        <f>_xlfn.XLOOKUP(A33,'EMPLOYEE MASTER DATA'!A33:A332,'EMPLOYEE MASTER DATA'!D33:D332)</f>
        <v>Sales</v>
      </c>
      <c r="D33" s="4" t="str">
        <f>_xlfn.XLOOKUP(A33,'EMPLOYEE MASTER DATA'!A33:A332,'EMPLOYEE MASTER DATA'!E33:E332)</f>
        <v>Senior Sales Executive</v>
      </c>
      <c r="E33" s="26">
        <f>_xlfn.XLOOKUP(A33,'EMPLOYEE MASTER DATA'!A33:A332,'EMPLOYEE MASTER DATA'!F33:F332)</f>
        <v>39000</v>
      </c>
      <c r="F33" s="26">
        <f t="shared" si="1"/>
        <v>1625</v>
      </c>
      <c r="G33" s="4">
        <v>22</v>
      </c>
      <c r="H33" s="4">
        <f>_xlfn.XLOOKUP(A33,'MONTHLY ATTENDANCE SUMMARY'!A32:A331,'MONTHLY ATTENDANCE SUMMARY'!F32:F331)</f>
        <v>1</v>
      </c>
      <c r="I33" s="4">
        <f t="shared" si="2"/>
        <v>1</v>
      </c>
      <c r="J33" s="4">
        <f t="shared" si="3"/>
        <v>0</v>
      </c>
      <c r="K33" s="26">
        <f t="shared" si="4"/>
        <v>37375</v>
      </c>
      <c r="L33" s="26">
        <f t="shared" si="0"/>
        <v>4680</v>
      </c>
      <c r="M33" s="26">
        <f t="shared" si="5"/>
        <v>200</v>
      </c>
      <c r="N33" s="26">
        <f t="shared" si="6"/>
        <v>0</v>
      </c>
      <c r="O33" s="27">
        <f t="shared" si="7"/>
        <v>32495</v>
      </c>
    </row>
    <row r="34" spans="1:15" x14ac:dyDescent="0.3">
      <c r="A34" s="10" t="str">
        <v>EMP031</v>
      </c>
      <c r="B34" s="4" t="str">
        <v>Aravind M</v>
      </c>
      <c r="C34" s="4" t="str">
        <f>_xlfn.XLOOKUP(A34,'EMPLOYEE MASTER DATA'!A34:A333,'EMPLOYEE MASTER DATA'!D34:D333)</f>
        <v>Customer Relationship</v>
      </c>
      <c r="D34" s="4" t="str">
        <f>_xlfn.XLOOKUP(A34,'EMPLOYEE MASTER DATA'!A34:A333,'EMPLOYEE MASTER DATA'!E34:E333)</f>
        <v>Customer Service Executive</v>
      </c>
      <c r="E34" s="26">
        <f>_xlfn.XLOOKUP(A34,'EMPLOYEE MASTER DATA'!A34:A333,'EMPLOYEE MASTER DATA'!F34:F333)</f>
        <v>28000</v>
      </c>
      <c r="F34" s="26">
        <f t="shared" si="1"/>
        <v>1166.6666666666667</v>
      </c>
      <c r="G34" s="4">
        <v>22</v>
      </c>
      <c r="H34" s="4">
        <f>_xlfn.XLOOKUP(A34,'MONTHLY ATTENDANCE SUMMARY'!A33:A332,'MONTHLY ATTENDANCE SUMMARY'!F33:F332)</f>
        <v>2</v>
      </c>
      <c r="I34" s="4">
        <f t="shared" si="2"/>
        <v>1</v>
      </c>
      <c r="J34" s="4">
        <f t="shared" si="3"/>
        <v>1</v>
      </c>
      <c r="K34" s="26">
        <f t="shared" si="4"/>
        <v>27416.666666666668</v>
      </c>
      <c r="L34" s="26">
        <f t="shared" si="0"/>
        <v>3360</v>
      </c>
      <c r="M34" s="26">
        <f t="shared" si="5"/>
        <v>200</v>
      </c>
      <c r="N34" s="26">
        <f t="shared" si="6"/>
        <v>0</v>
      </c>
      <c r="O34" s="27">
        <f t="shared" si="7"/>
        <v>23856.666666666668</v>
      </c>
    </row>
    <row r="35" spans="1:15" x14ac:dyDescent="0.3">
      <c r="A35" s="10" t="str">
        <v>EMP032</v>
      </c>
      <c r="B35" s="4" t="str">
        <v>Nithin S</v>
      </c>
      <c r="C35" s="4" t="str">
        <f>_xlfn.XLOOKUP(A35,'EMPLOYEE MASTER DATA'!A35:A334,'EMPLOYEE MASTER DATA'!D35:D334)</f>
        <v>Admin</v>
      </c>
      <c r="D35" s="4" t="str">
        <f>_xlfn.XLOOKUP(A35,'EMPLOYEE MASTER DATA'!A35:A334,'EMPLOYEE MASTER DATA'!E35:E334)</f>
        <v>Office Administrator</v>
      </c>
      <c r="E35" s="26">
        <f>_xlfn.XLOOKUP(A35,'EMPLOYEE MASTER DATA'!A35:A334,'EMPLOYEE MASTER DATA'!F35:F334)</f>
        <v>31000</v>
      </c>
      <c r="F35" s="26">
        <f t="shared" si="1"/>
        <v>1291.6666666666667</v>
      </c>
      <c r="G35" s="4">
        <v>19</v>
      </c>
      <c r="H35" s="4">
        <f>_xlfn.XLOOKUP(A35,'MONTHLY ATTENDANCE SUMMARY'!A34:A333,'MONTHLY ATTENDANCE SUMMARY'!F34:F333)</f>
        <v>2</v>
      </c>
      <c r="I35" s="4">
        <f t="shared" si="2"/>
        <v>1</v>
      </c>
      <c r="J35" s="4">
        <f t="shared" si="3"/>
        <v>1</v>
      </c>
      <c r="K35" s="26">
        <f t="shared" si="4"/>
        <v>26479.166666666668</v>
      </c>
      <c r="L35" s="26">
        <f t="shared" si="0"/>
        <v>3720</v>
      </c>
      <c r="M35" s="26">
        <f t="shared" si="5"/>
        <v>200</v>
      </c>
      <c r="N35" s="26">
        <f t="shared" si="6"/>
        <v>0</v>
      </c>
      <c r="O35" s="27">
        <f t="shared" si="7"/>
        <v>22559.166666666668</v>
      </c>
    </row>
    <row r="36" spans="1:15" x14ac:dyDescent="0.3">
      <c r="A36" s="10" t="str">
        <v>EMP033</v>
      </c>
      <c r="B36" s="4" t="str">
        <v>Karthik R</v>
      </c>
      <c r="C36" s="4" t="str">
        <f>_xlfn.XLOOKUP(A36,'EMPLOYEE MASTER DATA'!A36:A335,'EMPLOYEE MASTER DATA'!D36:D335)</f>
        <v>Back End</v>
      </c>
      <c r="D36" s="4" t="str">
        <f>_xlfn.XLOOKUP(A36,'EMPLOYEE MASTER DATA'!A36:A335,'EMPLOYEE MASTER DATA'!E36:E335)</f>
        <v>Data Entry Executive</v>
      </c>
      <c r="E36" s="26">
        <f>_xlfn.XLOOKUP(A36,'EMPLOYEE MASTER DATA'!A36:A335,'EMPLOYEE MASTER DATA'!F36:F335)</f>
        <v>23500</v>
      </c>
      <c r="F36" s="26">
        <f t="shared" si="1"/>
        <v>979.16666666666663</v>
      </c>
      <c r="G36" s="4">
        <v>22</v>
      </c>
      <c r="H36" s="4">
        <f>_xlfn.XLOOKUP(A36,'MONTHLY ATTENDANCE SUMMARY'!A35:A334,'MONTHLY ATTENDANCE SUMMARY'!F35:F334)</f>
        <v>1</v>
      </c>
      <c r="I36" s="4">
        <f t="shared" si="2"/>
        <v>1</v>
      </c>
      <c r="J36" s="4">
        <f t="shared" si="3"/>
        <v>0</v>
      </c>
      <c r="K36" s="26">
        <f t="shared" si="4"/>
        <v>22520.833333333332</v>
      </c>
      <c r="L36" s="26">
        <f t="shared" si="0"/>
        <v>2820</v>
      </c>
      <c r="M36" s="26">
        <f t="shared" si="5"/>
        <v>200</v>
      </c>
      <c r="N36" s="26">
        <f t="shared" si="6"/>
        <v>0</v>
      </c>
      <c r="O36" s="27">
        <f t="shared" si="7"/>
        <v>19500.833333333332</v>
      </c>
    </row>
    <row r="37" spans="1:15" x14ac:dyDescent="0.3">
      <c r="A37" s="10" t="str">
        <v>EMP034</v>
      </c>
      <c r="B37" s="4" t="str">
        <v>Praveen S</v>
      </c>
      <c r="C37" s="4" t="str">
        <f>_xlfn.XLOOKUP(A37,'EMPLOYEE MASTER DATA'!A37:A336,'EMPLOYEE MASTER DATA'!D37:D336)</f>
        <v>IT</v>
      </c>
      <c r="D37" s="4" t="str">
        <f>_xlfn.XLOOKUP(A37,'EMPLOYEE MASTER DATA'!A37:A336,'EMPLOYEE MASTER DATA'!E37:E336)</f>
        <v>System Administrator</v>
      </c>
      <c r="E37" s="26">
        <f>_xlfn.XLOOKUP(A37,'EMPLOYEE MASTER DATA'!A37:A336,'EMPLOYEE MASTER DATA'!F37:F336)</f>
        <v>36000</v>
      </c>
      <c r="F37" s="26">
        <f t="shared" si="1"/>
        <v>1500</v>
      </c>
      <c r="G37" s="4">
        <v>19</v>
      </c>
      <c r="H37" s="4">
        <f>_xlfn.XLOOKUP(A37,'MONTHLY ATTENDANCE SUMMARY'!A36:A335,'MONTHLY ATTENDANCE SUMMARY'!F36:F335)</f>
        <v>1</v>
      </c>
      <c r="I37" s="4">
        <f t="shared" si="2"/>
        <v>1</v>
      </c>
      <c r="J37" s="4">
        <f t="shared" si="3"/>
        <v>0</v>
      </c>
      <c r="K37" s="26">
        <f t="shared" si="4"/>
        <v>30000</v>
      </c>
      <c r="L37" s="26">
        <f t="shared" si="0"/>
        <v>4320</v>
      </c>
      <c r="M37" s="26">
        <f t="shared" si="5"/>
        <v>200</v>
      </c>
      <c r="N37" s="26">
        <f t="shared" si="6"/>
        <v>0</v>
      </c>
      <c r="O37" s="27">
        <f t="shared" si="7"/>
        <v>25480</v>
      </c>
    </row>
    <row r="38" spans="1:15" x14ac:dyDescent="0.3">
      <c r="A38" s="10" t="str">
        <v>EMP035</v>
      </c>
      <c r="B38" s="4" t="str">
        <v>Manoj Kumar</v>
      </c>
      <c r="C38" s="4" t="str">
        <f>_xlfn.XLOOKUP(A38,'EMPLOYEE MASTER DATA'!A38:A337,'EMPLOYEE MASTER DATA'!D38:D337)</f>
        <v>Admin</v>
      </c>
      <c r="D38" s="4" t="str">
        <f>_xlfn.XLOOKUP(A38,'EMPLOYEE MASTER DATA'!A38:A337,'EMPLOYEE MASTER DATA'!E38:E337)</f>
        <v>Admin Manager</v>
      </c>
      <c r="E38" s="26">
        <f>_xlfn.XLOOKUP(A38,'EMPLOYEE MASTER DATA'!A38:A337,'EMPLOYEE MASTER DATA'!F38:F337)</f>
        <v>57000</v>
      </c>
      <c r="F38" s="26">
        <f t="shared" si="1"/>
        <v>2375</v>
      </c>
      <c r="G38" s="4">
        <v>21</v>
      </c>
      <c r="H38" s="4">
        <f>_xlfn.XLOOKUP(A38,'MONTHLY ATTENDANCE SUMMARY'!A37:A336,'MONTHLY ATTENDANCE SUMMARY'!F37:F336)</f>
        <v>1</v>
      </c>
      <c r="I38" s="4">
        <f t="shared" si="2"/>
        <v>1</v>
      </c>
      <c r="J38" s="4">
        <f t="shared" si="3"/>
        <v>0</v>
      </c>
      <c r="K38" s="26">
        <f t="shared" si="4"/>
        <v>52250</v>
      </c>
      <c r="L38" s="26">
        <f t="shared" si="0"/>
        <v>6840</v>
      </c>
      <c r="M38" s="26">
        <f t="shared" si="5"/>
        <v>200</v>
      </c>
      <c r="N38" s="26">
        <f t="shared" si="6"/>
        <v>0</v>
      </c>
      <c r="O38" s="27">
        <f t="shared" si="7"/>
        <v>45210</v>
      </c>
    </row>
    <row r="39" spans="1:15" x14ac:dyDescent="0.3">
      <c r="A39" s="10" t="str">
        <v>EMP036</v>
      </c>
      <c r="B39" s="4" t="str">
        <v>Madhan Narayanan</v>
      </c>
      <c r="C39" s="4" t="str">
        <f>_xlfn.XLOOKUP(A39,'EMPLOYEE MASTER DATA'!A39:A338,'EMPLOYEE MASTER DATA'!D39:D338)</f>
        <v>Business Development</v>
      </c>
      <c r="D39" s="4" t="str">
        <f>_xlfn.XLOOKUP(A39,'EMPLOYEE MASTER DATA'!A39:A338,'EMPLOYEE MASTER DATA'!E39:E338)</f>
        <v>Corporate Sales Executive</v>
      </c>
      <c r="E39" s="26">
        <f>_xlfn.XLOOKUP(A39,'EMPLOYEE MASTER DATA'!A39:A338,'EMPLOYEE MASTER DATA'!F39:F338)</f>
        <v>49500</v>
      </c>
      <c r="F39" s="26">
        <f t="shared" si="1"/>
        <v>2062.5</v>
      </c>
      <c r="G39" s="4">
        <v>20</v>
      </c>
      <c r="H39" s="4">
        <f>_xlfn.XLOOKUP(A39,'MONTHLY ATTENDANCE SUMMARY'!A38:A337,'MONTHLY ATTENDANCE SUMMARY'!F38:F337)</f>
        <v>1</v>
      </c>
      <c r="I39" s="4">
        <f t="shared" si="2"/>
        <v>1</v>
      </c>
      <c r="J39" s="4">
        <f t="shared" si="3"/>
        <v>0</v>
      </c>
      <c r="K39" s="26">
        <f t="shared" si="4"/>
        <v>43312.5</v>
      </c>
      <c r="L39" s="26">
        <f t="shared" si="0"/>
        <v>5940</v>
      </c>
      <c r="M39" s="26">
        <f t="shared" si="5"/>
        <v>200</v>
      </c>
      <c r="N39" s="26">
        <f t="shared" si="6"/>
        <v>0</v>
      </c>
      <c r="O39" s="27">
        <f t="shared" si="7"/>
        <v>37172.5</v>
      </c>
    </row>
    <row r="40" spans="1:15" x14ac:dyDescent="0.3">
      <c r="A40" s="10" t="str">
        <v>EMP037</v>
      </c>
      <c r="B40" s="4" t="str">
        <v>Kishore Murugan</v>
      </c>
      <c r="C40" s="4" t="str">
        <f>_xlfn.XLOOKUP(A40,'EMPLOYEE MASTER DATA'!A40:A339,'EMPLOYEE MASTER DATA'!D40:D339)</f>
        <v>Procurement</v>
      </c>
      <c r="D40" s="4" t="str">
        <f>_xlfn.XLOOKUP(A40,'EMPLOYEE MASTER DATA'!A40:A339,'EMPLOYEE MASTER DATA'!E40:E339)</f>
        <v>Procurement Manager</v>
      </c>
      <c r="E40" s="26">
        <f>_xlfn.XLOOKUP(A40,'EMPLOYEE MASTER DATA'!A40:A339,'EMPLOYEE MASTER DATA'!F40:F339)</f>
        <v>76000</v>
      </c>
      <c r="F40" s="26">
        <f t="shared" si="1"/>
        <v>3166.6666666666665</v>
      </c>
      <c r="G40" s="4">
        <v>18</v>
      </c>
      <c r="H40" s="4">
        <f>_xlfn.XLOOKUP(A40,'MONTHLY ATTENDANCE SUMMARY'!A39:A338,'MONTHLY ATTENDANCE SUMMARY'!F39:F338)</f>
        <v>1</v>
      </c>
      <c r="I40" s="4">
        <f t="shared" si="2"/>
        <v>1</v>
      </c>
      <c r="J40" s="4">
        <f t="shared" si="3"/>
        <v>0</v>
      </c>
      <c r="K40" s="26">
        <f t="shared" si="4"/>
        <v>60166.666666666664</v>
      </c>
      <c r="L40" s="26">
        <f t="shared" si="0"/>
        <v>9120</v>
      </c>
      <c r="M40" s="26">
        <f t="shared" si="5"/>
        <v>200</v>
      </c>
      <c r="N40" s="26">
        <f t="shared" si="6"/>
        <v>0</v>
      </c>
      <c r="O40" s="27">
        <f t="shared" si="7"/>
        <v>50846.666666666664</v>
      </c>
    </row>
    <row r="41" spans="1:15" x14ac:dyDescent="0.3">
      <c r="A41" s="10" t="str">
        <v>EMP038</v>
      </c>
      <c r="B41" s="4" t="str">
        <v>Kishore M</v>
      </c>
      <c r="C41" s="4" t="str">
        <f>_xlfn.XLOOKUP(A41,'EMPLOYEE MASTER DATA'!A41:A340,'EMPLOYEE MASTER DATA'!D41:D340)</f>
        <v>Sales</v>
      </c>
      <c r="D41" s="4" t="str">
        <f>_xlfn.XLOOKUP(A41,'EMPLOYEE MASTER DATA'!A41:A340,'EMPLOYEE MASTER DATA'!E41:E340)</f>
        <v>Key Account Executive</v>
      </c>
      <c r="E41" s="26">
        <f>_xlfn.XLOOKUP(A41,'EMPLOYEE MASTER DATA'!A41:A340,'EMPLOYEE MASTER DATA'!F41:F340)</f>
        <v>45500</v>
      </c>
      <c r="F41" s="26">
        <f t="shared" si="1"/>
        <v>1895.8333333333333</v>
      </c>
      <c r="G41" s="4">
        <v>22</v>
      </c>
      <c r="H41" s="4">
        <f>_xlfn.XLOOKUP(A41,'MONTHLY ATTENDANCE SUMMARY'!A40:A339,'MONTHLY ATTENDANCE SUMMARY'!F40:F339)</f>
        <v>2</v>
      </c>
      <c r="I41" s="4">
        <f t="shared" si="2"/>
        <v>1</v>
      </c>
      <c r="J41" s="4">
        <f t="shared" si="3"/>
        <v>1</v>
      </c>
      <c r="K41" s="26">
        <f t="shared" si="4"/>
        <v>44552.083333333328</v>
      </c>
      <c r="L41" s="26">
        <f t="shared" si="0"/>
        <v>5460</v>
      </c>
      <c r="M41" s="26">
        <f t="shared" si="5"/>
        <v>200</v>
      </c>
      <c r="N41" s="26">
        <f t="shared" si="6"/>
        <v>0</v>
      </c>
      <c r="O41" s="27">
        <f t="shared" si="7"/>
        <v>38892.083333333328</v>
      </c>
    </row>
    <row r="42" spans="1:15" x14ac:dyDescent="0.3">
      <c r="A42" s="10" t="str">
        <v>EMP039</v>
      </c>
      <c r="B42" s="4" t="str">
        <v>Bharath S</v>
      </c>
      <c r="C42" s="4" t="str">
        <f>_xlfn.XLOOKUP(A42,'EMPLOYEE MASTER DATA'!A42:A341,'EMPLOYEE MASTER DATA'!D42:D341)</f>
        <v>Customer Relationship</v>
      </c>
      <c r="D42" s="4" t="str">
        <f>_xlfn.XLOOKUP(A42,'EMPLOYEE MASTER DATA'!A42:A341,'EMPLOYEE MASTER DATA'!E42:E341)</f>
        <v>CRM Executive</v>
      </c>
      <c r="E42" s="26">
        <f>_xlfn.XLOOKUP(A42,'EMPLOYEE MASTER DATA'!A42:A341,'EMPLOYEE MASTER DATA'!F42:F341)</f>
        <v>27000</v>
      </c>
      <c r="F42" s="26">
        <f t="shared" si="1"/>
        <v>1125</v>
      </c>
      <c r="G42" s="4">
        <v>21</v>
      </c>
      <c r="H42" s="4">
        <f>_xlfn.XLOOKUP(A42,'MONTHLY ATTENDANCE SUMMARY'!A41:A340,'MONTHLY ATTENDANCE SUMMARY'!F41:F340)</f>
        <v>2</v>
      </c>
      <c r="I42" s="4">
        <f t="shared" si="2"/>
        <v>1</v>
      </c>
      <c r="J42" s="4">
        <f t="shared" si="3"/>
        <v>1</v>
      </c>
      <c r="K42" s="26">
        <f t="shared" si="4"/>
        <v>25312.5</v>
      </c>
      <c r="L42" s="26">
        <f t="shared" si="0"/>
        <v>3240</v>
      </c>
      <c r="M42" s="26">
        <f t="shared" si="5"/>
        <v>200</v>
      </c>
      <c r="N42" s="26">
        <f t="shared" si="6"/>
        <v>0</v>
      </c>
      <c r="O42" s="27">
        <f t="shared" si="7"/>
        <v>21872.5</v>
      </c>
    </row>
    <row r="43" spans="1:15" x14ac:dyDescent="0.3">
      <c r="A43" s="10" t="str">
        <v>EMP040</v>
      </c>
      <c r="B43" s="4" t="str">
        <v>Ashwin G</v>
      </c>
      <c r="C43" s="4" t="str">
        <f>_xlfn.XLOOKUP(A43,'EMPLOYEE MASTER DATA'!A43:A342,'EMPLOYEE MASTER DATA'!D43:D342)</f>
        <v>Sales</v>
      </c>
      <c r="D43" s="4" t="str">
        <f>_xlfn.XLOOKUP(A43,'EMPLOYEE MASTER DATA'!A43:A342,'EMPLOYEE MASTER DATA'!E43:E342)</f>
        <v>Area Sales Executive</v>
      </c>
      <c r="E43" s="26">
        <f>_xlfn.XLOOKUP(A43,'EMPLOYEE MASTER DATA'!A43:A342,'EMPLOYEE MASTER DATA'!F43:F342)</f>
        <v>37000</v>
      </c>
      <c r="F43" s="26">
        <f t="shared" si="1"/>
        <v>1541.6666666666667</v>
      </c>
      <c r="G43" s="4">
        <v>14</v>
      </c>
      <c r="H43" s="4">
        <f>_xlfn.XLOOKUP(A43,'MONTHLY ATTENDANCE SUMMARY'!A42:A341,'MONTHLY ATTENDANCE SUMMARY'!F42:F341)</f>
        <v>2</v>
      </c>
      <c r="I43" s="4">
        <f t="shared" si="2"/>
        <v>1</v>
      </c>
      <c r="J43" s="4">
        <f t="shared" si="3"/>
        <v>1</v>
      </c>
      <c r="K43" s="26">
        <f t="shared" si="4"/>
        <v>23895.833333333336</v>
      </c>
      <c r="L43" s="26">
        <f t="shared" si="0"/>
        <v>4440</v>
      </c>
      <c r="M43" s="26">
        <f t="shared" si="5"/>
        <v>200</v>
      </c>
      <c r="N43" s="26">
        <f t="shared" si="6"/>
        <v>0</v>
      </c>
      <c r="O43" s="27">
        <f t="shared" si="7"/>
        <v>19255.833333333336</v>
      </c>
    </row>
    <row r="44" spans="1:15" x14ac:dyDescent="0.3">
      <c r="A44" s="10" t="str">
        <v>EMP041</v>
      </c>
      <c r="B44" s="4" t="str">
        <v>Ajay Raj</v>
      </c>
      <c r="C44" s="4" t="str">
        <f>_xlfn.XLOOKUP(A44,'EMPLOYEE MASTER DATA'!A44:A343,'EMPLOYEE MASTER DATA'!D44:D343)</f>
        <v>Front Office</v>
      </c>
      <c r="D44" s="4" t="str">
        <f>_xlfn.XLOOKUP(A44,'EMPLOYEE MASTER DATA'!A44:A343,'EMPLOYEE MASTER DATA'!E44:E343)</f>
        <v>Guest Relations Executive</v>
      </c>
      <c r="E44" s="26">
        <f>_xlfn.XLOOKUP(A44,'EMPLOYEE MASTER DATA'!A44:A343,'EMPLOYEE MASTER DATA'!F44:F343)</f>
        <v>25500</v>
      </c>
      <c r="F44" s="26">
        <f t="shared" si="1"/>
        <v>1062.5</v>
      </c>
      <c r="G44" s="4">
        <v>21</v>
      </c>
      <c r="H44" s="4">
        <f>_xlfn.XLOOKUP(A44,'MONTHLY ATTENDANCE SUMMARY'!A43:A342,'MONTHLY ATTENDANCE SUMMARY'!F43:F342)</f>
        <v>2</v>
      </c>
      <c r="I44" s="4">
        <f t="shared" si="2"/>
        <v>1</v>
      </c>
      <c r="J44" s="4">
        <f t="shared" si="3"/>
        <v>1</v>
      </c>
      <c r="K44" s="26">
        <f t="shared" si="4"/>
        <v>23906.25</v>
      </c>
      <c r="L44" s="26">
        <f t="shared" si="0"/>
        <v>3060</v>
      </c>
      <c r="M44" s="26">
        <f t="shared" si="5"/>
        <v>200</v>
      </c>
      <c r="N44" s="26">
        <f t="shared" si="6"/>
        <v>0</v>
      </c>
      <c r="O44" s="27">
        <f t="shared" si="7"/>
        <v>20646.25</v>
      </c>
    </row>
    <row r="45" spans="1:15" x14ac:dyDescent="0.3">
      <c r="A45" s="10" t="str">
        <v>EMP042</v>
      </c>
      <c r="B45" s="4" t="str">
        <v>Prakash S</v>
      </c>
      <c r="C45" s="4" t="str">
        <f>_xlfn.XLOOKUP(A45,'EMPLOYEE MASTER DATA'!A45:A344,'EMPLOYEE MASTER DATA'!D45:D344)</f>
        <v>Accounts</v>
      </c>
      <c r="D45" s="4" t="str">
        <f>_xlfn.XLOOKUP(A45,'EMPLOYEE MASTER DATA'!A45:A344,'EMPLOYEE MASTER DATA'!E45:E344)</f>
        <v>Accounts Manager</v>
      </c>
      <c r="E45" s="26">
        <f>_xlfn.XLOOKUP(A45,'EMPLOYEE MASTER DATA'!A45:A344,'EMPLOYEE MASTER DATA'!F45:F344)</f>
        <v>72000</v>
      </c>
      <c r="F45" s="26">
        <f t="shared" si="1"/>
        <v>3000</v>
      </c>
      <c r="G45" s="4">
        <v>22</v>
      </c>
      <c r="H45" s="4">
        <f>_xlfn.XLOOKUP(A45,'MONTHLY ATTENDANCE SUMMARY'!A44:A343,'MONTHLY ATTENDANCE SUMMARY'!F44:F343)</f>
        <v>2</v>
      </c>
      <c r="I45" s="4">
        <f t="shared" si="2"/>
        <v>1</v>
      </c>
      <c r="J45" s="4">
        <f t="shared" si="3"/>
        <v>1</v>
      </c>
      <c r="K45" s="26">
        <f t="shared" si="4"/>
        <v>70500</v>
      </c>
      <c r="L45" s="26">
        <f t="shared" si="0"/>
        <v>8640</v>
      </c>
      <c r="M45" s="26">
        <f t="shared" si="5"/>
        <v>200</v>
      </c>
      <c r="N45" s="26">
        <f t="shared" si="6"/>
        <v>0</v>
      </c>
      <c r="O45" s="27">
        <f t="shared" si="7"/>
        <v>61660</v>
      </c>
    </row>
    <row r="46" spans="1:15" x14ac:dyDescent="0.3">
      <c r="A46" s="10" t="str">
        <v>EMP043</v>
      </c>
      <c r="B46" s="4" t="str">
        <v>Deepak Selvam</v>
      </c>
      <c r="C46" s="4" t="str">
        <f>_xlfn.XLOOKUP(A46,'EMPLOYEE MASTER DATA'!A46:A345,'EMPLOYEE MASTER DATA'!D46:D345)</f>
        <v>Production</v>
      </c>
      <c r="D46" s="4" t="str">
        <f>_xlfn.XLOOKUP(A46,'EMPLOYEE MASTER DATA'!A46:A345,'EMPLOYEE MASTER DATA'!E46:E345)</f>
        <v>Quality Inspector</v>
      </c>
      <c r="E46" s="26">
        <f>_xlfn.XLOOKUP(A46,'EMPLOYEE MASTER DATA'!A46:A345,'EMPLOYEE MASTER DATA'!F46:F345)</f>
        <v>34000</v>
      </c>
      <c r="F46" s="26">
        <f t="shared" si="1"/>
        <v>1416.6666666666667</v>
      </c>
      <c r="G46" s="4">
        <v>21</v>
      </c>
      <c r="H46" s="4">
        <f>_xlfn.XLOOKUP(A46,'MONTHLY ATTENDANCE SUMMARY'!A45:A344,'MONTHLY ATTENDANCE SUMMARY'!F45:F344)</f>
        <v>1</v>
      </c>
      <c r="I46" s="4">
        <f t="shared" si="2"/>
        <v>1</v>
      </c>
      <c r="J46" s="4">
        <f t="shared" si="3"/>
        <v>0</v>
      </c>
      <c r="K46" s="26">
        <f t="shared" si="4"/>
        <v>31166.666666666668</v>
      </c>
      <c r="L46" s="26">
        <f t="shared" si="0"/>
        <v>4080</v>
      </c>
      <c r="M46" s="26">
        <f t="shared" si="5"/>
        <v>200</v>
      </c>
      <c r="N46" s="26">
        <f t="shared" si="6"/>
        <v>0</v>
      </c>
      <c r="O46" s="27">
        <f t="shared" si="7"/>
        <v>26886.666666666668</v>
      </c>
    </row>
    <row r="47" spans="1:15" x14ac:dyDescent="0.3">
      <c r="A47" s="10" t="str">
        <v>EMP044</v>
      </c>
      <c r="B47" s="4" t="str">
        <v>Karthik Krishnan</v>
      </c>
      <c r="C47" s="4" t="str">
        <f>_xlfn.XLOOKUP(A47,'EMPLOYEE MASTER DATA'!A47:A346,'EMPLOYEE MASTER DATA'!D47:D346)</f>
        <v>IT</v>
      </c>
      <c r="D47" s="4" t="str">
        <f>_xlfn.XLOOKUP(A47,'EMPLOYEE MASTER DATA'!A47:A346,'EMPLOYEE MASTER DATA'!E47:E346)</f>
        <v>Network Engineer</v>
      </c>
      <c r="E47" s="26">
        <f>_xlfn.XLOOKUP(A47,'EMPLOYEE MASTER DATA'!A47:A346,'EMPLOYEE MASTER DATA'!F47:F346)</f>
        <v>47500</v>
      </c>
      <c r="F47" s="26">
        <f t="shared" si="1"/>
        <v>1979.1666666666667</v>
      </c>
      <c r="G47" s="4">
        <v>21</v>
      </c>
      <c r="H47" s="4">
        <f>_xlfn.XLOOKUP(A47,'MONTHLY ATTENDANCE SUMMARY'!A46:A345,'MONTHLY ATTENDANCE SUMMARY'!F46:F345)</f>
        <v>1</v>
      </c>
      <c r="I47" s="4">
        <f t="shared" si="2"/>
        <v>1</v>
      </c>
      <c r="J47" s="4">
        <f t="shared" si="3"/>
        <v>0</v>
      </c>
      <c r="K47" s="26">
        <f t="shared" si="4"/>
        <v>43541.666666666672</v>
      </c>
      <c r="L47" s="26">
        <f t="shared" si="0"/>
        <v>5700</v>
      </c>
      <c r="M47" s="26">
        <f t="shared" si="5"/>
        <v>200</v>
      </c>
      <c r="N47" s="26">
        <f t="shared" si="6"/>
        <v>0</v>
      </c>
      <c r="O47" s="27">
        <f t="shared" si="7"/>
        <v>37641.666666666672</v>
      </c>
    </row>
    <row r="48" spans="1:15" x14ac:dyDescent="0.3">
      <c r="A48" s="10" t="str">
        <v>EMP045</v>
      </c>
      <c r="B48" s="4" t="str">
        <v>Ajay Raja</v>
      </c>
      <c r="C48" s="4" t="str">
        <f>_xlfn.XLOOKUP(A48,'EMPLOYEE MASTER DATA'!A48:A347,'EMPLOYEE MASTER DATA'!D48:D347)</f>
        <v>HR</v>
      </c>
      <c r="D48" s="4" t="str">
        <f>_xlfn.XLOOKUP(A48,'EMPLOYEE MASTER DATA'!A48:A347,'EMPLOYEE MASTER DATA'!E48:E347)</f>
        <v>Recruiter</v>
      </c>
      <c r="E48" s="26">
        <f>_xlfn.XLOOKUP(A48,'EMPLOYEE MASTER DATA'!A48:A347,'EMPLOYEE MASTER DATA'!F48:F347)</f>
        <v>27500</v>
      </c>
      <c r="F48" s="26">
        <f t="shared" si="1"/>
        <v>1145.8333333333333</v>
      </c>
      <c r="G48" s="4">
        <v>18</v>
      </c>
      <c r="H48" s="4">
        <f>_xlfn.XLOOKUP(A48,'MONTHLY ATTENDANCE SUMMARY'!A47:A346,'MONTHLY ATTENDANCE SUMMARY'!F47:F346)</f>
        <v>2</v>
      </c>
      <c r="I48" s="4">
        <f t="shared" si="2"/>
        <v>1</v>
      </c>
      <c r="J48" s="4">
        <f t="shared" si="3"/>
        <v>1</v>
      </c>
      <c r="K48" s="26">
        <f t="shared" si="4"/>
        <v>22343.75</v>
      </c>
      <c r="L48" s="26">
        <f t="shared" si="0"/>
        <v>3300</v>
      </c>
      <c r="M48" s="26">
        <f t="shared" si="5"/>
        <v>200</v>
      </c>
      <c r="N48" s="26">
        <f t="shared" si="6"/>
        <v>0</v>
      </c>
      <c r="O48" s="27">
        <f t="shared" si="7"/>
        <v>18843.75</v>
      </c>
    </row>
    <row r="49" spans="1:15" x14ac:dyDescent="0.3">
      <c r="A49" s="10" t="str">
        <v>EMP046</v>
      </c>
      <c r="B49" s="4" t="str">
        <v>Aravind Selvam</v>
      </c>
      <c r="C49" s="4" t="str">
        <f>_xlfn.XLOOKUP(A49,'EMPLOYEE MASTER DATA'!A49:A348,'EMPLOYEE MASTER DATA'!D49:D348)</f>
        <v>Production</v>
      </c>
      <c r="D49" s="4" t="str">
        <f>_xlfn.XLOOKUP(A49,'EMPLOYEE MASTER DATA'!A49:A348,'EMPLOYEE MASTER DATA'!E49:E348)</f>
        <v>Production Manager</v>
      </c>
      <c r="E49" s="26">
        <f>_xlfn.XLOOKUP(A49,'EMPLOYEE MASTER DATA'!A49:A348,'EMPLOYEE MASTER DATA'!F49:F348)</f>
        <v>64000</v>
      </c>
      <c r="F49" s="26">
        <f t="shared" si="1"/>
        <v>2666.6666666666665</v>
      </c>
      <c r="G49" s="4">
        <v>22</v>
      </c>
      <c r="H49" s="4">
        <f>_xlfn.XLOOKUP(A49,'MONTHLY ATTENDANCE SUMMARY'!A48:A347,'MONTHLY ATTENDANCE SUMMARY'!F48:F347)</f>
        <v>1</v>
      </c>
      <c r="I49" s="4">
        <f t="shared" si="2"/>
        <v>1</v>
      </c>
      <c r="J49" s="4">
        <f t="shared" si="3"/>
        <v>0</v>
      </c>
      <c r="K49" s="26">
        <f t="shared" si="4"/>
        <v>61333.333333333328</v>
      </c>
      <c r="L49" s="26">
        <f t="shared" si="0"/>
        <v>7680</v>
      </c>
      <c r="M49" s="26">
        <f t="shared" si="5"/>
        <v>200</v>
      </c>
      <c r="N49" s="26">
        <f t="shared" si="6"/>
        <v>0</v>
      </c>
      <c r="O49" s="27">
        <f t="shared" si="7"/>
        <v>53453.333333333328</v>
      </c>
    </row>
    <row r="50" spans="1:15" x14ac:dyDescent="0.3">
      <c r="A50" s="10" t="str">
        <v>EMP047</v>
      </c>
      <c r="B50" s="4" t="str">
        <v>Yuvaraj Raja</v>
      </c>
      <c r="C50" s="4" t="str">
        <f>_xlfn.XLOOKUP(A50,'EMPLOYEE MASTER DATA'!A50:A349,'EMPLOYEE MASTER DATA'!D50:D349)</f>
        <v>Procurement</v>
      </c>
      <c r="D50" s="4" t="str">
        <f>_xlfn.XLOOKUP(A50,'EMPLOYEE MASTER DATA'!A50:A349,'EMPLOYEE MASTER DATA'!E50:E349)</f>
        <v>Buyer</v>
      </c>
      <c r="E50" s="26">
        <f>_xlfn.XLOOKUP(A50,'EMPLOYEE MASTER DATA'!A50:A349,'EMPLOYEE MASTER DATA'!F50:F349)</f>
        <v>37500</v>
      </c>
      <c r="F50" s="26">
        <f t="shared" si="1"/>
        <v>1562.5</v>
      </c>
      <c r="G50" s="4">
        <v>20</v>
      </c>
      <c r="H50" s="4">
        <f>_xlfn.XLOOKUP(A50,'MONTHLY ATTENDANCE SUMMARY'!A49:A348,'MONTHLY ATTENDANCE SUMMARY'!F49:F348)</f>
        <v>2</v>
      </c>
      <c r="I50" s="4">
        <f t="shared" si="2"/>
        <v>1</v>
      </c>
      <c r="J50" s="4">
        <f t="shared" si="3"/>
        <v>1</v>
      </c>
      <c r="K50" s="26">
        <f t="shared" si="4"/>
        <v>33593.75</v>
      </c>
      <c r="L50" s="26">
        <f t="shared" si="0"/>
        <v>4500</v>
      </c>
      <c r="M50" s="26">
        <f t="shared" si="5"/>
        <v>200</v>
      </c>
      <c r="N50" s="26">
        <f t="shared" si="6"/>
        <v>0</v>
      </c>
      <c r="O50" s="27">
        <f t="shared" si="7"/>
        <v>28893.75</v>
      </c>
    </row>
    <row r="51" spans="1:15" x14ac:dyDescent="0.3">
      <c r="A51" s="10" t="str">
        <v>EMP048</v>
      </c>
      <c r="B51" s="4" t="str">
        <v>Aravind Krishnan</v>
      </c>
      <c r="C51" s="4" t="str">
        <f>_xlfn.XLOOKUP(A51,'EMPLOYEE MASTER DATA'!A51:A350,'EMPLOYEE MASTER DATA'!D51:D350)</f>
        <v>Customer Relationship</v>
      </c>
      <c r="D51" s="4" t="str">
        <f>_xlfn.XLOOKUP(A51,'EMPLOYEE MASTER DATA'!A51:A350,'EMPLOYEE MASTER DATA'!E51:E350)</f>
        <v>Customer Relationship Officer</v>
      </c>
      <c r="E51" s="26">
        <f>_xlfn.XLOOKUP(A51,'EMPLOYEE MASTER DATA'!A51:A350,'EMPLOYEE MASTER DATA'!F51:F350)</f>
        <v>26500</v>
      </c>
      <c r="F51" s="26">
        <f t="shared" si="1"/>
        <v>1104.1666666666667</v>
      </c>
      <c r="G51" s="4">
        <v>18</v>
      </c>
      <c r="H51" s="4">
        <f>_xlfn.XLOOKUP(A51,'MONTHLY ATTENDANCE SUMMARY'!A50:A349,'MONTHLY ATTENDANCE SUMMARY'!F50:F349)</f>
        <v>2</v>
      </c>
      <c r="I51" s="4">
        <f t="shared" si="2"/>
        <v>1</v>
      </c>
      <c r="J51" s="4">
        <f t="shared" si="3"/>
        <v>1</v>
      </c>
      <c r="K51" s="26">
        <f t="shared" si="4"/>
        <v>21531.25</v>
      </c>
      <c r="L51" s="26">
        <f t="shared" si="0"/>
        <v>3180</v>
      </c>
      <c r="M51" s="26">
        <f t="shared" si="5"/>
        <v>200</v>
      </c>
      <c r="N51" s="26">
        <f t="shared" si="6"/>
        <v>0</v>
      </c>
      <c r="O51" s="27">
        <f t="shared" si="7"/>
        <v>18151.25</v>
      </c>
    </row>
    <row r="52" spans="1:15" x14ac:dyDescent="0.3">
      <c r="A52" s="10" t="str">
        <v>EMP049</v>
      </c>
      <c r="B52" s="4" t="str">
        <v>Vijay Murugan</v>
      </c>
      <c r="C52" s="4" t="str">
        <f>_xlfn.XLOOKUP(A52,'EMPLOYEE MASTER DATA'!A52:A351,'EMPLOYEE MASTER DATA'!D52:D351)</f>
        <v>Front Office</v>
      </c>
      <c r="D52" s="4" t="str">
        <f>_xlfn.XLOOKUP(A52,'EMPLOYEE MASTER DATA'!A52:A351,'EMPLOYEE MASTER DATA'!E52:E351)</f>
        <v>Front Desk Coordinator</v>
      </c>
      <c r="E52" s="26">
        <f>_xlfn.XLOOKUP(A52,'EMPLOYEE MASTER DATA'!A52:A351,'EMPLOYEE MASTER DATA'!F52:F351)</f>
        <v>30000</v>
      </c>
      <c r="F52" s="26">
        <f t="shared" si="1"/>
        <v>1250</v>
      </c>
      <c r="G52" s="4">
        <v>19</v>
      </c>
      <c r="H52" s="4">
        <f>_xlfn.XLOOKUP(A52,'MONTHLY ATTENDANCE SUMMARY'!A51:A350,'MONTHLY ATTENDANCE SUMMARY'!F51:F350)</f>
        <v>1</v>
      </c>
      <c r="I52" s="4">
        <f t="shared" si="2"/>
        <v>1</v>
      </c>
      <c r="J52" s="4">
        <f t="shared" si="3"/>
        <v>0</v>
      </c>
      <c r="K52" s="26">
        <f t="shared" si="4"/>
        <v>25000</v>
      </c>
      <c r="L52" s="26">
        <f t="shared" si="0"/>
        <v>3600</v>
      </c>
      <c r="M52" s="26">
        <f t="shared" si="5"/>
        <v>200</v>
      </c>
      <c r="N52" s="26">
        <f t="shared" si="6"/>
        <v>0</v>
      </c>
      <c r="O52" s="27">
        <f t="shared" si="7"/>
        <v>21200</v>
      </c>
    </row>
    <row r="53" spans="1:15" x14ac:dyDescent="0.3">
      <c r="A53" s="10" t="str">
        <v>EMP050</v>
      </c>
      <c r="B53" s="4" t="str">
        <v>Manoj P</v>
      </c>
      <c r="C53" s="4" t="str">
        <f>_xlfn.XLOOKUP(A53,'EMPLOYEE MASTER DATA'!A53:A352,'EMPLOYEE MASTER DATA'!D53:D352)</f>
        <v>Accounts</v>
      </c>
      <c r="D53" s="4" t="str">
        <f>_xlfn.XLOOKUP(A53,'EMPLOYEE MASTER DATA'!A53:A352,'EMPLOYEE MASTER DATA'!E53:E352)</f>
        <v>Senior Accountant</v>
      </c>
      <c r="E53" s="26">
        <f>_xlfn.XLOOKUP(A53,'EMPLOYEE MASTER DATA'!A53:A352,'EMPLOYEE MASTER DATA'!F53:F352)</f>
        <v>46000</v>
      </c>
      <c r="F53" s="26">
        <f t="shared" si="1"/>
        <v>1916.6666666666667</v>
      </c>
      <c r="G53" s="4">
        <v>21</v>
      </c>
      <c r="H53" s="4">
        <f>_xlfn.XLOOKUP(A53,'MONTHLY ATTENDANCE SUMMARY'!A52:A351,'MONTHLY ATTENDANCE SUMMARY'!F52:F351)</f>
        <v>1</v>
      </c>
      <c r="I53" s="4">
        <f t="shared" si="2"/>
        <v>1</v>
      </c>
      <c r="J53" s="4">
        <f t="shared" si="3"/>
        <v>0</v>
      </c>
      <c r="K53" s="26">
        <f t="shared" si="4"/>
        <v>42166.666666666672</v>
      </c>
      <c r="L53" s="26">
        <f t="shared" si="0"/>
        <v>5520</v>
      </c>
      <c r="M53" s="26">
        <f t="shared" si="5"/>
        <v>200</v>
      </c>
      <c r="N53" s="26">
        <f t="shared" si="6"/>
        <v>0</v>
      </c>
      <c r="O53" s="27">
        <f t="shared" si="7"/>
        <v>36446.666666666672</v>
      </c>
    </row>
    <row r="54" spans="1:15" x14ac:dyDescent="0.3">
      <c r="A54" s="10" t="str">
        <v>EMP051</v>
      </c>
      <c r="B54" s="4" t="str">
        <v>Vijay Babu</v>
      </c>
      <c r="C54" s="4" t="str">
        <f>_xlfn.XLOOKUP(A54,'EMPLOYEE MASTER DATA'!A54:A353,'EMPLOYEE MASTER DATA'!D54:D353)</f>
        <v>Maintenance</v>
      </c>
      <c r="D54" s="4" t="str">
        <f>_xlfn.XLOOKUP(A54,'EMPLOYEE MASTER DATA'!A54:A353,'EMPLOYEE MASTER DATA'!E54:E353)</f>
        <v>Maintenance Manager</v>
      </c>
      <c r="E54" s="26">
        <f>_xlfn.XLOOKUP(A54,'EMPLOYEE MASTER DATA'!A54:A353,'EMPLOYEE MASTER DATA'!F54:F353)</f>
        <v>77500</v>
      </c>
      <c r="F54" s="26">
        <f t="shared" si="1"/>
        <v>3229.1666666666665</v>
      </c>
      <c r="G54" s="4">
        <v>21</v>
      </c>
      <c r="H54" s="4">
        <f>_xlfn.XLOOKUP(A54,'MONTHLY ATTENDANCE SUMMARY'!A53:A352,'MONTHLY ATTENDANCE SUMMARY'!F53:F352)</f>
        <v>2</v>
      </c>
      <c r="I54" s="4">
        <f t="shared" si="2"/>
        <v>1</v>
      </c>
      <c r="J54" s="4">
        <f t="shared" si="3"/>
        <v>1</v>
      </c>
      <c r="K54" s="26">
        <f t="shared" si="4"/>
        <v>72656.25</v>
      </c>
      <c r="L54" s="26">
        <f t="shared" si="0"/>
        <v>9300</v>
      </c>
      <c r="M54" s="26">
        <f t="shared" si="5"/>
        <v>200</v>
      </c>
      <c r="N54" s="26">
        <f t="shared" si="6"/>
        <v>0</v>
      </c>
      <c r="O54" s="27">
        <f t="shared" si="7"/>
        <v>63156.25</v>
      </c>
    </row>
    <row r="55" spans="1:15" x14ac:dyDescent="0.3">
      <c r="A55" s="10" t="str">
        <v>EMP052</v>
      </c>
      <c r="B55" s="4" t="str">
        <v>Karthik Raja</v>
      </c>
      <c r="C55" s="4" t="str">
        <f>_xlfn.XLOOKUP(A55,'EMPLOYEE MASTER DATA'!A55:A354,'EMPLOYEE MASTER DATA'!D55:D354)</f>
        <v>HR</v>
      </c>
      <c r="D55" s="4" t="str">
        <f>_xlfn.XLOOKUP(A55,'EMPLOYEE MASTER DATA'!A55:A354,'EMPLOYEE MASTER DATA'!E55:E354)</f>
        <v>Recruiter</v>
      </c>
      <c r="E55" s="26">
        <f>_xlfn.XLOOKUP(A55,'EMPLOYEE MASTER DATA'!A55:A354,'EMPLOYEE MASTER DATA'!F55:F354)</f>
        <v>24500</v>
      </c>
      <c r="F55" s="26">
        <f t="shared" si="1"/>
        <v>1020.8333333333334</v>
      </c>
      <c r="G55" s="4">
        <v>20</v>
      </c>
      <c r="H55" s="4">
        <f>_xlfn.XLOOKUP(A55,'MONTHLY ATTENDANCE SUMMARY'!A54:A353,'MONTHLY ATTENDANCE SUMMARY'!F54:F353)</f>
        <v>1</v>
      </c>
      <c r="I55" s="4">
        <f t="shared" si="2"/>
        <v>1</v>
      </c>
      <c r="J55" s="4">
        <f t="shared" si="3"/>
        <v>0</v>
      </c>
      <c r="K55" s="26">
        <f t="shared" si="4"/>
        <v>21437.5</v>
      </c>
      <c r="L55" s="26">
        <f t="shared" si="0"/>
        <v>2940</v>
      </c>
      <c r="M55" s="26">
        <f t="shared" si="5"/>
        <v>200</v>
      </c>
      <c r="N55" s="26">
        <f t="shared" si="6"/>
        <v>0</v>
      </c>
      <c r="O55" s="27">
        <f t="shared" si="7"/>
        <v>18297.5</v>
      </c>
    </row>
    <row r="56" spans="1:15" x14ac:dyDescent="0.3">
      <c r="A56" s="10" t="str">
        <v>EMP053</v>
      </c>
      <c r="B56" s="4" t="str">
        <v>Naveen G</v>
      </c>
      <c r="C56" s="4" t="str">
        <f>_xlfn.XLOOKUP(A56,'EMPLOYEE MASTER DATA'!A56:A355,'EMPLOYEE MASTER DATA'!D56:D355)</f>
        <v>Maintenance</v>
      </c>
      <c r="D56" s="4" t="str">
        <f>_xlfn.XLOOKUP(A56,'EMPLOYEE MASTER DATA'!A56:A355,'EMPLOYEE MASTER DATA'!E56:E355)</f>
        <v>Maintenance Manager</v>
      </c>
      <c r="E56" s="26">
        <f>_xlfn.XLOOKUP(A56,'EMPLOYEE MASTER DATA'!A56:A355,'EMPLOYEE MASTER DATA'!F56:F355)</f>
        <v>69500</v>
      </c>
      <c r="F56" s="26">
        <f t="shared" si="1"/>
        <v>2895.8333333333335</v>
      </c>
      <c r="G56" s="4">
        <v>18</v>
      </c>
      <c r="H56" s="4">
        <f>_xlfn.XLOOKUP(A56,'MONTHLY ATTENDANCE SUMMARY'!A55:A354,'MONTHLY ATTENDANCE SUMMARY'!F55:F354)</f>
        <v>2</v>
      </c>
      <c r="I56" s="4">
        <f t="shared" si="2"/>
        <v>1</v>
      </c>
      <c r="J56" s="4">
        <f t="shared" si="3"/>
        <v>1</v>
      </c>
      <c r="K56" s="26">
        <f t="shared" si="4"/>
        <v>56468.75</v>
      </c>
      <c r="L56" s="26">
        <f t="shared" si="0"/>
        <v>8340</v>
      </c>
      <c r="M56" s="26">
        <f t="shared" si="5"/>
        <v>200</v>
      </c>
      <c r="N56" s="26">
        <f t="shared" si="6"/>
        <v>0</v>
      </c>
      <c r="O56" s="27">
        <f t="shared" si="7"/>
        <v>47928.75</v>
      </c>
    </row>
    <row r="57" spans="1:15" x14ac:dyDescent="0.3">
      <c r="A57" s="10" t="str">
        <v>EMP054</v>
      </c>
      <c r="B57" s="4" t="str">
        <v>Yuvaraj Krishnan</v>
      </c>
      <c r="C57" s="4" t="str">
        <f>_xlfn.XLOOKUP(A57,'EMPLOYEE MASTER DATA'!A57:A356,'EMPLOYEE MASTER DATA'!D57:D356)</f>
        <v>IT</v>
      </c>
      <c r="D57" s="4" t="str">
        <f>_xlfn.XLOOKUP(A57,'EMPLOYEE MASTER DATA'!A57:A356,'EMPLOYEE MASTER DATA'!E57:E356)</f>
        <v>System Administrator</v>
      </c>
      <c r="E57" s="26">
        <f>_xlfn.XLOOKUP(A57,'EMPLOYEE MASTER DATA'!A57:A356,'EMPLOYEE MASTER DATA'!F57:F356)</f>
        <v>41500</v>
      </c>
      <c r="F57" s="26">
        <f t="shared" si="1"/>
        <v>1729.1666666666667</v>
      </c>
      <c r="G57" s="4">
        <v>21</v>
      </c>
      <c r="H57" s="4">
        <f>_xlfn.XLOOKUP(A57,'MONTHLY ATTENDANCE SUMMARY'!A56:A355,'MONTHLY ATTENDANCE SUMMARY'!F56:F355)</f>
        <v>2</v>
      </c>
      <c r="I57" s="4">
        <f t="shared" si="2"/>
        <v>1</v>
      </c>
      <c r="J57" s="4">
        <f t="shared" si="3"/>
        <v>1</v>
      </c>
      <c r="K57" s="26">
        <f t="shared" si="4"/>
        <v>38906.25</v>
      </c>
      <c r="L57" s="26">
        <f t="shared" si="0"/>
        <v>4980</v>
      </c>
      <c r="M57" s="26">
        <f t="shared" si="5"/>
        <v>200</v>
      </c>
      <c r="N57" s="26">
        <f t="shared" si="6"/>
        <v>0</v>
      </c>
      <c r="O57" s="27">
        <f t="shared" si="7"/>
        <v>33726.25</v>
      </c>
    </row>
    <row r="58" spans="1:15" x14ac:dyDescent="0.3">
      <c r="A58" s="10" t="str">
        <v>EMP055</v>
      </c>
      <c r="B58" s="4" t="str">
        <v>Lokesh V</v>
      </c>
      <c r="C58" s="4" t="str">
        <f>_xlfn.XLOOKUP(A58,'EMPLOYEE MASTER DATA'!A58:A357,'EMPLOYEE MASTER DATA'!D58:D357)</f>
        <v>IT</v>
      </c>
      <c r="D58" s="4" t="str">
        <f>_xlfn.XLOOKUP(A58,'EMPLOYEE MASTER DATA'!A58:A357,'EMPLOYEE MASTER DATA'!E58:E357)</f>
        <v>Software Developer</v>
      </c>
      <c r="E58" s="26">
        <f>_xlfn.XLOOKUP(A58,'EMPLOYEE MASTER DATA'!A58:A357,'EMPLOYEE MASTER DATA'!F58:F357)</f>
        <v>41000</v>
      </c>
      <c r="F58" s="26">
        <f t="shared" si="1"/>
        <v>1708.3333333333333</v>
      </c>
      <c r="G58" s="4">
        <v>19</v>
      </c>
      <c r="H58" s="4">
        <f>_xlfn.XLOOKUP(A58,'MONTHLY ATTENDANCE SUMMARY'!A57:A356,'MONTHLY ATTENDANCE SUMMARY'!F57:F356)</f>
        <v>2</v>
      </c>
      <c r="I58" s="4">
        <f t="shared" si="2"/>
        <v>1</v>
      </c>
      <c r="J58" s="4">
        <f t="shared" si="3"/>
        <v>1</v>
      </c>
      <c r="K58" s="26">
        <f t="shared" si="4"/>
        <v>35020.833333333328</v>
      </c>
      <c r="L58" s="26">
        <f t="shared" si="0"/>
        <v>4920</v>
      </c>
      <c r="M58" s="26">
        <f t="shared" si="5"/>
        <v>200</v>
      </c>
      <c r="N58" s="26">
        <f t="shared" si="6"/>
        <v>0</v>
      </c>
      <c r="O58" s="27">
        <f t="shared" si="7"/>
        <v>29900.833333333328</v>
      </c>
    </row>
    <row r="59" spans="1:15" x14ac:dyDescent="0.3">
      <c r="A59" s="10" t="str">
        <v>EMP056</v>
      </c>
      <c r="B59" s="4" t="str">
        <v>Yuvaraj P</v>
      </c>
      <c r="C59" s="4" t="str">
        <f>_xlfn.XLOOKUP(A59,'EMPLOYEE MASTER DATA'!A59:A358,'EMPLOYEE MASTER DATA'!D59:D358)</f>
        <v>Back End</v>
      </c>
      <c r="D59" s="4" t="str">
        <f>_xlfn.XLOOKUP(A59,'EMPLOYEE MASTER DATA'!A59:A358,'EMPLOYEE MASTER DATA'!E59:E358)</f>
        <v>Operations Executive</v>
      </c>
      <c r="E59" s="26">
        <f>_xlfn.XLOOKUP(A59,'EMPLOYEE MASTER DATA'!A59:A358,'EMPLOYEE MASTER DATA'!F59:F358)</f>
        <v>35500</v>
      </c>
      <c r="F59" s="26">
        <f t="shared" si="1"/>
        <v>1479.1666666666667</v>
      </c>
      <c r="G59" s="4">
        <v>22</v>
      </c>
      <c r="H59" s="4">
        <f>_xlfn.XLOOKUP(A59,'MONTHLY ATTENDANCE SUMMARY'!A58:A357,'MONTHLY ATTENDANCE SUMMARY'!F58:F357)</f>
        <v>1</v>
      </c>
      <c r="I59" s="4">
        <f t="shared" si="2"/>
        <v>1</v>
      </c>
      <c r="J59" s="4">
        <f t="shared" si="3"/>
        <v>0</v>
      </c>
      <c r="K59" s="26">
        <f t="shared" si="4"/>
        <v>34020.833333333336</v>
      </c>
      <c r="L59" s="26">
        <f t="shared" si="0"/>
        <v>4260</v>
      </c>
      <c r="M59" s="26">
        <f t="shared" si="5"/>
        <v>200</v>
      </c>
      <c r="N59" s="26">
        <f t="shared" si="6"/>
        <v>0</v>
      </c>
      <c r="O59" s="27">
        <f t="shared" si="7"/>
        <v>29560.833333333336</v>
      </c>
    </row>
    <row r="60" spans="1:15" x14ac:dyDescent="0.3">
      <c r="A60" s="10" t="str">
        <v>EMP057</v>
      </c>
      <c r="B60" s="4" t="str">
        <v>Ramesh B</v>
      </c>
      <c r="C60" s="4" t="str">
        <f>_xlfn.XLOOKUP(A60,'EMPLOYEE MASTER DATA'!A60:A359,'EMPLOYEE MASTER DATA'!D60:D359)</f>
        <v>Production</v>
      </c>
      <c r="D60" s="4" t="str">
        <f>_xlfn.XLOOKUP(A60,'EMPLOYEE MASTER DATA'!A60:A359,'EMPLOYEE MASTER DATA'!E60:E359)</f>
        <v>Production Executive</v>
      </c>
      <c r="E60" s="26">
        <f>_xlfn.XLOOKUP(A60,'EMPLOYEE MASTER DATA'!A60:A359,'EMPLOYEE MASTER DATA'!F60:F359)</f>
        <v>22000</v>
      </c>
      <c r="F60" s="26">
        <f t="shared" si="1"/>
        <v>916.66666666666663</v>
      </c>
      <c r="G60" s="4">
        <v>19</v>
      </c>
      <c r="H60" s="4">
        <f>_xlfn.XLOOKUP(A60,'MONTHLY ATTENDANCE SUMMARY'!A59:A358,'MONTHLY ATTENDANCE SUMMARY'!F59:F358)</f>
        <v>1</v>
      </c>
      <c r="I60" s="4">
        <f t="shared" si="2"/>
        <v>1</v>
      </c>
      <c r="J60" s="4">
        <f t="shared" si="3"/>
        <v>0</v>
      </c>
      <c r="K60" s="26">
        <f t="shared" si="4"/>
        <v>18333.333333333332</v>
      </c>
      <c r="L60" s="26">
        <f t="shared" si="0"/>
        <v>2640</v>
      </c>
      <c r="M60" s="26">
        <f t="shared" si="5"/>
        <v>0</v>
      </c>
      <c r="N60" s="26">
        <f t="shared" si="6"/>
        <v>137.5</v>
      </c>
      <c r="O60" s="27">
        <f t="shared" si="7"/>
        <v>15555.833333333332</v>
      </c>
    </row>
    <row r="61" spans="1:15" x14ac:dyDescent="0.3">
      <c r="A61" s="10" t="str">
        <v>EMP058</v>
      </c>
      <c r="B61" s="4" t="str">
        <v>Arun T</v>
      </c>
      <c r="C61" s="4" t="str">
        <f>_xlfn.XLOOKUP(A61,'EMPLOYEE MASTER DATA'!A61:A360,'EMPLOYEE MASTER DATA'!D61:D360)</f>
        <v>Maintenance</v>
      </c>
      <c r="D61" s="4" t="str">
        <f>_xlfn.XLOOKUP(A61,'EMPLOYEE MASTER DATA'!A61:A360,'EMPLOYEE MASTER DATA'!E61:E360)</f>
        <v>Maintenance Manager</v>
      </c>
      <c r="E61" s="26">
        <f>_xlfn.XLOOKUP(A61,'EMPLOYEE MASTER DATA'!A61:A360,'EMPLOYEE MASTER DATA'!F61:F360)</f>
        <v>74500</v>
      </c>
      <c r="F61" s="26">
        <f t="shared" si="1"/>
        <v>3104.1666666666665</v>
      </c>
      <c r="G61" s="4">
        <v>22</v>
      </c>
      <c r="H61" s="4">
        <f>_xlfn.XLOOKUP(A61,'MONTHLY ATTENDANCE SUMMARY'!A60:A359,'MONTHLY ATTENDANCE SUMMARY'!F60:F359)</f>
        <v>2</v>
      </c>
      <c r="I61" s="4">
        <f t="shared" si="2"/>
        <v>1</v>
      </c>
      <c r="J61" s="4">
        <f t="shared" si="3"/>
        <v>1</v>
      </c>
      <c r="K61" s="26">
        <f t="shared" si="4"/>
        <v>72947.916666666657</v>
      </c>
      <c r="L61" s="26">
        <f t="shared" si="0"/>
        <v>8940</v>
      </c>
      <c r="M61" s="26">
        <f t="shared" si="5"/>
        <v>200</v>
      </c>
      <c r="N61" s="26">
        <f t="shared" si="6"/>
        <v>0</v>
      </c>
      <c r="O61" s="27">
        <f t="shared" si="7"/>
        <v>63807.916666666657</v>
      </c>
    </row>
    <row r="62" spans="1:15" x14ac:dyDescent="0.3">
      <c r="A62" s="10" t="str">
        <v>EMP059</v>
      </c>
      <c r="B62" s="4" t="str">
        <v>Ashwin Selvam</v>
      </c>
      <c r="C62" s="4" t="str">
        <f>_xlfn.XLOOKUP(A62,'EMPLOYEE MASTER DATA'!A62:A361,'EMPLOYEE MASTER DATA'!D62:D361)</f>
        <v>Procurement</v>
      </c>
      <c r="D62" s="4" t="str">
        <f>_xlfn.XLOOKUP(A62,'EMPLOYEE MASTER DATA'!A62:A361,'EMPLOYEE MASTER DATA'!E62:E361)</f>
        <v>Buyer</v>
      </c>
      <c r="E62" s="26">
        <f>_xlfn.XLOOKUP(A62,'EMPLOYEE MASTER DATA'!A62:A361,'EMPLOYEE MASTER DATA'!F62:F361)</f>
        <v>43500</v>
      </c>
      <c r="F62" s="26">
        <f t="shared" si="1"/>
        <v>1812.5</v>
      </c>
      <c r="G62" s="4">
        <v>18</v>
      </c>
      <c r="H62" s="4">
        <f>_xlfn.XLOOKUP(A62,'MONTHLY ATTENDANCE SUMMARY'!A61:A360,'MONTHLY ATTENDANCE SUMMARY'!F61:F360)</f>
        <v>2</v>
      </c>
      <c r="I62" s="4">
        <f t="shared" si="2"/>
        <v>1</v>
      </c>
      <c r="J62" s="4">
        <f t="shared" si="3"/>
        <v>1</v>
      </c>
      <c r="K62" s="26">
        <f t="shared" si="4"/>
        <v>35343.75</v>
      </c>
      <c r="L62" s="26">
        <f t="shared" si="0"/>
        <v>5220</v>
      </c>
      <c r="M62" s="26">
        <f t="shared" si="5"/>
        <v>200</v>
      </c>
      <c r="N62" s="26">
        <f t="shared" si="6"/>
        <v>0</v>
      </c>
      <c r="O62" s="27">
        <f t="shared" si="7"/>
        <v>29923.75</v>
      </c>
    </row>
    <row r="63" spans="1:15" x14ac:dyDescent="0.3">
      <c r="A63" s="10" t="str">
        <v>EMP060</v>
      </c>
      <c r="B63" s="4" t="str">
        <v>Yogesh R</v>
      </c>
      <c r="C63" s="4" t="str">
        <f>_xlfn.XLOOKUP(A63,'EMPLOYEE MASTER DATA'!A63:A362,'EMPLOYEE MASTER DATA'!D63:D362)</f>
        <v>Sales</v>
      </c>
      <c r="D63" s="4" t="str">
        <f>_xlfn.XLOOKUP(A63,'EMPLOYEE MASTER DATA'!A63:A362,'EMPLOYEE MASTER DATA'!E63:E362)</f>
        <v>Key Account Executive</v>
      </c>
      <c r="E63" s="26">
        <f>_xlfn.XLOOKUP(A63,'EMPLOYEE MASTER DATA'!A63:A362,'EMPLOYEE MASTER DATA'!F63:F362)</f>
        <v>35500</v>
      </c>
      <c r="F63" s="26">
        <f t="shared" si="1"/>
        <v>1479.1666666666667</v>
      </c>
      <c r="G63" s="4">
        <v>21</v>
      </c>
      <c r="H63" s="4">
        <f>_xlfn.XLOOKUP(A63,'MONTHLY ATTENDANCE SUMMARY'!A62:A361,'MONTHLY ATTENDANCE SUMMARY'!F62:F361)</f>
        <v>2</v>
      </c>
      <c r="I63" s="4">
        <f t="shared" si="2"/>
        <v>1</v>
      </c>
      <c r="J63" s="4">
        <f t="shared" si="3"/>
        <v>1</v>
      </c>
      <c r="K63" s="26">
        <f t="shared" si="4"/>
        <v>33281.25</v>
      </c>
      <c r="L63" s="26">
        <f t="shared" si="0"/>
        <v>4260</v>
      </c>
      <c r="M63" s="26">
        <f t="shared" si="5"/>
        <v>200</v>
      </c>
      <c r="N63" s="26">
        <f t="shared" si="6"/>
        <v>0</v>
      </c>
      <c r="O63" s="27">
        <f t="shared" si="7"/>
        <v>28821.25</v>
      </c>
    </row>
    <row r="64" spans="1:15" x14ac:dyDescent="0.3">
      <c r="A64" s="10" t="str">
        <v>EMP061</v>
      </c>
      <c r="B64" s="4" t="str">
        <v>Kishore P</v>
      </c>
      <c r="C64" s="4" t="str">
        <f>_xlfn.XLOOKUP(A64,'EMPLOYEE MASTER DATA'!A64:A363,'EMPLOYEE MASTER DATA'!D64:D363)</f>
        <v>Maintenance</v>
      </c>
      <c r="D64" s="4" t="str">
        <f>_xlfn.XLOOKUP(A64,'EMPLOYEE MASTER DATA'!A64:A363,'EMPLOYEE MASTER DATA'!E64:E363)</f>
        <v>Mechanical Technician</v>
      </c>
      <c r="E64" s="26">
        <f>_xlfn.XLOOKUP(A64,'EMPLOYEE MASTER DATA'!A64:A363,'EMPLOYEE MASTER DATA'!F64:F363)</f>
        <v>34000</v>
      </c>
      <c r="F64" s="26">
        <f t="shared" si="1"/>
        <v>1416.6666666666667</v>
      </c>
      <c r="G64" s="4">
        <v>18</v>
      </c>
      <c r="H64" s="4">
        <f>_xlfn.XLOOKUP(A64,'MONTHLY ATTENDANCE SUMMARY'!A63:A362,'MONTHLY ATTENDANCE SUMMARY'!F63:F362)</f>
        <v>2</v>
      </c>
      <c r="I64" s="4">
        <f t="shared" si="2"/>
        <v>1</v>
      </c>
      <c r="J64" s="4">
        <f t="shared" si="3"/>
        <v>1</v>
      </c>
      <c r="K64" s="26">
        <f t="shared" si="4"/>
        <v>27625</v>
      </c>
      <c r="L64" s="26">
        <f t="shared" si="0"/>
        <v>4080</v>
      </c>
      <c r="M64" s="26">
        <f t="shared" si="5"/>
        <v>200</v>
      </c>
      <c r="N64" s="26">
        <f t="shared" si="6"/>
        <v>0</v>
      </c>
      <c r="O64" s="27">
        <f t="shared" si="7"/>
        <v>23345</v>
      </c>
    </row>
    <row r="65" spans="1:15" x14ac:dyDescent="0.3">
      <c r="A65" s="10" t="str">
        <v>EMP062</v>
      </c>
      <c r="B65" s="4" t="str">
        <v>Manoj Raj</v>
      </c>
      <c r="C65" s="4" t="str">
        <f>_xlfn.XLOOKUP(A65,'EMPLOYEE MASTER DATA'!A65:A364,'EMPLOYEE MASTER DATA'!D65:D364)</f>
        <v>Back End</v>
      </c>
      <c r="D65" s="4" t="str">
        <f>_xlfn.XLOOKUP(A65,'EMPLOYEE MASTER DATA'!A65:A364,'EMPLOYEE MASTER DATA'!E65:E364)</f>
        <v>Documentation Executive</v>
      </c>
      <c r="E65" s="26">
        <f>_xlfn.XLOOKUP(A65,'EMPLOYEE MASTER DATA'!A65:A364,'EMPLOYEE MASTER DATA'!F65:F364)</f>
        <v>22000</v>
      </c>
      <c r="F65" s="26">
        <f t="shared" si="1"/>
        <v>916.66666666666663</v>
      </c>
      <c r="G65" s="4">
        <v>18</v>
      </c>
      <c r="H65" s="4">
        <f>_xlfn.XLOOKUP(A65,'MONTHLY ATTENDANCE SUMMARY'!A64:A363,'MONTHLY ATTENDANCE SUMMARY'!F64:F363)</f>
        <v>2</v>
      </c>
      <c r="I65" s="4">
        <f t="shared" si="2"/>
        <v>1</v>
      </c>
      <c r="J65" s="4">
        <f t="shared" si="3"/>
        <v>1</v>
      </c>
      <c r="K65" s="26">
        <f t="shared" si="4"/>
        <v>17875</v>
      </c>
      <c r="L65" s="26">
        <f t="shared" si="0"/>
        <v>2640</v>
      </c>
      <c r="M65" s="26">
        <f t="shared" si="5"/>
        <v>0</v>
      </c>
      <c r="N65" s="26">
        <f t="shared" si="6"/>
        <v>134.0625</v>
      </c>
      <c r="O65" s="27">
        <f t="shared" si="7"/>
        <v>15100.9375</v>
      </c>
    </row>
    <row r="66" spans="1:15" x14ac:dyDescent="0.3">
      <c r="A66" s="10" t="str">
        <v>EMP063</v>
      </c>
      <c r="B66" s="4" t="str">
        <v>Rahul Kumar</v>
      </c>
      <c r="C66" s="4" t="str">
        <f>_xlfn.XLOOKUP(A66,'EMPLOYEE MASTER DATA'!A66:A365,'EMPLOYEE MASTER DATA'!D66:D365)</f>
        <v>Maintenance</v>
      </c>
      <c r="D66" s="4" t="str">
        <f>_xlfn.XLOOKUP(A66,'EMPLOYEE MASTER DATA'!A66:A365,'EMPLOYEE MASTER DATA'!E66:E365)</f>
        <v>Electrical Technician</v>
      </c>
      <c r="E66" s="26">
        <f>_xlfn.XLOOKUP(A66,'EMPLOYEE MASTER DATA'!A66:A365,'EMPLOYEE MASTER DATA'!F66:F365)</f>
        <v>26000</v>
      </c>
      <c r="F66" s="26">
        <f t="shared" si="1"/>
        <v>1083.3333333333333</v>
      </c>
      <c r="G66" s="4">
        <v>19</v>
      </c>
      <c r="H66" s="4">
        <f>_xlfn.XLOOKUP(A66,'MONTHLY ATTENDANCE SUMMARY'!A65:A364,'MONTHLY ATTENDANCE SUMMARY'!F65:F364)</f>
        <v>1</v>
      </c>
      <c r="I66" s="4">
        <f t="shared" si="2"/>
        <v>1</v>
      </c>
      <c r="J66" s="4">
        <f t="shared" si="3"/>
        <v>0</v>
      </c>
      <c r="K66" s="26">
        <f t="shared" si="4"/>
        <v>21666.666666666664</v>
      </c>
      <c r="L66" s="26">
        <f t="shared" si="0"/>
        <v>3120</v>
      </c>
      <c r="M66" s="26">
        <f t="shared" si="5"/>
        <v>200</v>
      </c>
      <c r="N66" s="26">
        <f t="shared" si="6"/>
        <v>0</v>
      </c>
      <c r="O66" s="27">
        <f t="shared" si="7"/>
        <v>18346.666666666664</v>
      </c>
    </row>
    <row r="67" spans="1:15" x14ac:dyDescent="0.3">
      <c r="A67" s="10" t="str">
        <v>EMP064</v>
      </c>
      <c r="B67" s="4" t="str">
        <v>Ajay V</v>
      </c>
      <c r="C67" s="4" t="str">
        <f>_xlfn.XLOOKUP(A67,'EMPLOYEE MASTER DATA'!A67:A366,'EMPLOYEE MASTER DATA'!D67:D366)</f>
        <v>Maintenance</v>
      </c>
      <c r="D67" s="4" t="str">
        <f>_xlfn.XLOOKUP(A67,'EMPLOYEE MASTER DATA'!A67:A366,'EMPLOYEE MASTER DATA'!E67:E366)</f>
        <v>Maintenance Manager</v>
      </c>
      <c r="E67" s="26">
        <f>_xlfn.XLOOKUP(A67,'EMPLOYEE MASTER DATA'!A67:A366,'EMPLOYEE MASTER DATA'!F67:F366)</f>
        <v>79500</v>
      </c>
      <c r="F67" s="26">
        <f t="shared" si="1"/>
        <v>3312.5</v>
      </c>
      <c r="G67" s="4">
        <v>21</v>
      </c>
      <c r="H67" s="4">
        <f>_xlfn.XLOOKUP(A67,'MONTHLY ATTENDANCE SUMMARY'!A66:A365,'MONTHLY ATTENDANCE SUMMARY'!F66:F365)</f>
        <v>1</v>
      </c>
      <c r="I67" s="4">
        <f t="shared" si="2"/>
        <v>1</v>
      </c>
      <c r="J67" s="4">
        <f t="shared" si="3"/>
        <v>0</v>
      </c>
      <c r="K67" s="26">
        <f t="shared" si="4"/>
        <v>72875</v>
      </c>
      <c r="L67" s="26">
        <f t="shared" si="0"/>
        <v>9540</v>
      </c>
      <c r="M67" s="26">
        <f t="shared" si="5"/>
        <v>200</v>
      </c>
      <c r="N67" s="26">
        <f t="shared" si="6"/>
        <v>0</v>
      </c>
      <c r="O67" s="27">
        <f t="shared" si="7"/>
        <v>63135</v>
      </c>
    </row>
    <row r="68" spans="1:15" x14ac:dyDescent="0.3">
      <c r="A68" s="10" t="str">
        <v>EMP065</v>
      </c>
      <c r="B68" s="4" t="str">
        <v>Rahul P</v>
      </c>
      <c r="C68" s="4" t="str">
        <f>_xlfn.XLOOKUP(A68,'EMPLOYEE MASTER DATA'!A68:A367,'EMPLOYEE MASTER DATA'!D68:D367)</f>
        <v>Maintenance</v>
      </c>
      <c r="D68" s="4" t="str">
        <f>_xlfn.XLOOKUP(A68,'EMPLOYEE MASTER DATA'!A68:A367,'EMPLOYEE MASTER DATA'!E68:E367)</f>
        <v>Maintenance Manager</v>
      </c>
      <c r="E68" s="26">
        <f>_xlfn.XLOOKUP(A68,'EMPLOYEE MASTER DATA'!A68:A367,'EMPLOYEE MASTER DATA'!F68:F367)</f>
        <v>82000</v>
      </c>
      <c r="F68" s="26">
        <f t="shared" si="1"/>
        <v>3416.6666666666665</v>
      </c>
      <c r="G68" s="4">
        <v>20</v>
      </c>
      <c r="H68" s="4">
        <f>_xlfn.XLOOKUP(A68,'MONTHLY ATTENDANCE SUMMARY'!A67:A366,'MONTHLY ATTENDANCE SUMMARY'!F67:F366)</f>
        <v>1</v>
      </c>
      <c r="I68" s="4">
        <f t="shared" si="2"/>
        <v>1</v>
      </c>
      <c r="J68" s="4">
        <f t="shared" si="3"/>
        <v>0</v>
      </c>
      <c r="K68" s="26">
        <f t="shared" si="4"/>
        <v>71750</v>
      </c>
      <c r="L68" s="26">
        <f t="shared" ref="L68:L131" si="8">E68*12%</f>
        <v>9840</v>
      </c>
      <c r="M68" s="26">
        <f t="shared" si="5"/>
        <v>200</v>
      </c>
      <c r="N68" s="26">
        <f t="shared" si="6"/>
        <v>0</v>
      </c>
      <c r="O68" s="27">
        <f t="shared" si="7"/>
        <v>61710</v>
      </c>
    </row>
    <row r="69" spans="1:15" x14ac:dyDescent="0.3">
      <c r="A69" s="10" t="str">
        <v>EMP066</v>
      </c>
      <c r="B69" s="4" t="str">
        <v>Saravanan K</v>
      </c>
      <c r="C69" s="4" t="str">
        <f>_xlfn.XLOOKUP(A69,'EMPLOYEE MASTER DATA'!A69:A368,'EMPLOYEE MASTER DATA'!D69:D368)</f>
        <v>Front Office</v>
      </c>
      <c r="D69" s="4" t="str">
        <f>_xlfn.XLOOKUP(A69,'EMPLOYEE MASTER DATA'!A69:A368,'EMPLOYEE MASTER DATA'!E69:E368)</f>
        <v>Receptionist</v>
      </c>
      <c r="E69" s="26">
        <f>_xlfn.XLOOKUP(A69,'EMPLOYEE MASTER DATA'!A69:A368,'EMPLOYEE MASTER DATA'!F69:F368)</f>
        <v>25000</v>
      </c>
      <c r="F69" s="26">
        <f t="shared" ref="F69:F132" si="9">E69/24</f>
        <v>1041.6666666666667</v>
      </c>
      <c r="G69" s="4">
        <v>18</v>
      </c>
      <c r="H69" s="4">
        <f>_xlfn.XLOOKUP(A69,'MONTHLY ATTENDANCE SUMMARY'!A68:A367,'MONTHLY ATTENDANCE SUMMARY'!F68:F367)</f>
        <v>2</v>
      </c>
      <c r="I69" s="4">
        <f t="shared" ref="I69:I132" si="10">MIN(H69,1)</f>
        <v>1</v>
      </c>
      <c r="J69" s="4">
        <f t="shared" ref="J69:J132" si="11">MAX(H69-1,0)</f>
        <v>1</v>
      </c>
      <c r="K69" s="26">
        <f t="shared" ref="K69:K132" si="12">F69*(G69+I69+(J69*0.5))</f>
        <v>20312.5</v>
      </c>
      <c r="L69" s="26">
        <f t="shared" si="8"/>
        <v>3000</v>
      </c>
      <c r="M69" s="26">
        <f t="shared" ref="M69:M132" si="13">IF(K69&gt;=21000,200,0)</f>
        <v>0</v>
      </c>
      <c r="N69" s="26">
        <f t="shared" ref="N69:N132" si="14">IF(K69&lt;=21000,K69*0.75%,0)</f>
        <v>152.34375</v>
      </c>
      <c r="O69" s="27">
        <f t="shared" ref="O69:O132" si="15">K69-SUM(L69:N69)</f>
        <v>17160.15625</v>
      </c>
    </row>
    <row r="70" spans="1:15" x14ac:dyDescent="0.3">
      <c r="A70" s="10" t="str">
        <v>EMP067</v>
      </c>
      <c r="B70" s="4" t="str">
        <v>Vignesh Raja</v>
      </c>
      <c r="C70" s="4" t="str">
        <f>_xlfn.XLOOKUP(A70,'EMPLOYEE MASTER DATA'!A70:A369,'EMPLOYEE MASTER DATA'!D70:D369)</f>
        <v>Accounts</v>
      </c>
      <c r="D70" s="4" t="str">
        <f>_xlfn.XLOOKUP(A70,'EMPLOYEE MASTER DATA'!A70:A369,'EMPLOYEE MASTER DATA'!E70:E369)</f>
        <v>Finance Executive</v>
      </c>
      <c r="E70" s="26">
        <f>_xlfn.XLOOKUP(A70,'EMPLOYEE MASTER DATA'!A70:A369,'EMPLOYEE MASTER DATA'!F70:F369)</f>
        <v>40000</v>
      </c>
      <c r="F70" s="26">
        <f t="shared" si="9"/>
        <v>1666.6666666666667</v>
      </c>
      <c r="G70" s="4">
        <v>19</v>
      </c>
      <c r="H70" s="4">
        <f>_xlfn.XLOOKUP(A70,'MONTHLY ATTENDANCE SUMMARY'!A69:A368,'MONTHLY ATTENDANCE SUMMARY'!F69:F368)</f>
        <v>2</v>
      </c>
      <c r="I70" s="4">
        <f t="shared" si="10"/>
        <v>1</v>
      </c>
      <c r="J70" s="4">
        <f t="shared" si="11"/>
        <v>1</v>
      </c>
      <c r="K70" s="26">
        <f t="shared" si="12"/>
        <v>34166.666666666672</v>
      </c>
      <c r="L70" s="26">
        <f t="shared" si="8"/>
        <v>4800</v>
      </c>
      <c r="M70" s="26">
        <f t="shared" si="13"/>
        <v>200</v>
      </c>
      <c r="N70" s="26">
        <f t="shared" si="14"/>
        <v>0</v>
      </c>
      <c r="O70" s="27">
        <f t="shared" si="15"/>
        <v>29166.666666666672</v>
      </c>
    </row>
    <row r="71" spans="1:15" x14ac:dyDescent="0.3">
      <c r="A71" s="10" t="str">
        <v>EMP068</v>
      </c>
      <c r="B71" s="4" t="str">
        <v>Vignesh V</v>
      </c>
      <c r="C71" s="4" t="str">
        <f>_xlfn.XLOOKUP(A71,'EMPLOYEE MASTER DATA'!A71:A370,'EMPLOYEE MASTER DATA'!D71:D370)</f>
        <v>HR</v>
      </c>
      <c r="D71" s="4" t="str">
        <f>_xlfn.XLOOKUP(A71,'EMPLOYEE MASTER DATA'!A71:A370,'EMPLOYEE MASTER DATA'!E71:E370)</f>
        <v>HR Manager</v>
      </c>
      <c r="E71" s="26">
        <f>_xlfn.XLOOKUP(A71,'EMPLOYEE MASTER DATA'!A71:A370,'EMPLOYEE MASTER DATA'!F71:F370)</f>
        <v>79000</v>
      </c>
      <c r="F71" s="26">
        <f t="shared" si="9"/>
        <v>3291.6666666666665</v>
      </c>
      <c r="G71" s="4">
        <v>22</v>
      </c>
      <c r="H71" s="4">
        <f>_xlfn.XLOOKUP(A71,'MONTHLY ATTENDANCE SUMMARY'!A70:A369,'MONTHLY ATTENDANCE SUMMARY'!F70:F369)</f>
        <v>1</v>
      </c>
      <c r="I71" s="4">
        <f t="shared" si="10"/>
        <v>1</v>
      </c>
      <c r="J71" s="4">
        <f t="shared" si="11"/>
        <v>0</v>
      </c>
      <c r="K71" s="26">
        <f t="shared" si="12"/>
        <v>75708.333333333328</v>
      </c>
      <c r="L71" s="26">
        <f t="shared" si="8"/>
        <v>9480</v>
      </c>
      <c r="M71" s="26">
        <f t="shared" si="13"/>
        <v>200</v>
      </c>
      <c r="N71" s="26">
        <f t="shared" si="14"/>
        <v>0</v>
      </c>
      <c r="O71" s="27">
        <f t="shared" si="15"/>
        <v>66028.333333333328</v>
      </c>
    </row>
    <row r="72" spans="1:15" x14ac:dyDescent="0.3">
      <c r="A72" s="10" t="str">
        <v>EMP069</v>
      </c>
      <c r="B72" s="4" t="str">
        <v>Yogesh M</v>
      </c>
      <c r="C72" s="4" t="str">
        <f>_xlfn.XLOOKUP(A72,'EMPLOYEE MASTER DATA'!A72:A371,'EMPLOYEE MASTER DATA'!D72:D371)</f>
        <v>Accounts</v>
      </c>
      <c r="D72" s="4" t="str">
        <f>_xlfn.XLOOKUP(A72,'EMPLOYEE MASTER DATA'!A72:A371,'EMPLOYEE MASTER DATA'!E72:E371)</f>
        <v>Accounts Manager</v>
      </c>
      <c r="E72" s="26">
        <f>_xlfn.XLOOKUP(A72,'EMPLOYEE MASTER DATA'!A72:A371,'EMPLOYEE MASTER DATA'!F72:F371)</f>
        <v>87500</v>
      </c>
      <c r="F72" s="26">
        <f t="shared" si="9"/>
        <v>3645.8333333333335</v>
      </c>
      <c r="G72" s="4">
        <v>22</v>
      </c>
      <c r="H72" s="4">
        <f>_xlfn.XLOOKUP(A72,'MONTHLY ATTENDANCE SUMMARY'!A71:A370,'MONTHLY ATTENDANCE SUMMARY'!F71:F370)</f>
        <v>1</v>
      </c>
      <c r="I72" s="4">
        <f t="shared" si="10"/>
        <v>1</v>
      </c>
      <c r="J72" s="4">
        <f t="shared" si="11"/>
        <v>0</v>
      </c>
      <c r="K72" s="26">
        <f t="shared" si="12"/>
        <v>83854.166666666672</v>
      </c>
      <c r="L72" s="26">
        <f t="shared" si="8"/>
        <v>10500</v>
      </c>
      <c r="M72" s="26">
        <f t="shared" si="13"/>
        <v>200</v>
      </c>
      <c r="N72" s="26">
        <f t="shared" si="14"/>
        <v>0</v>
      </c>
      <c r="O72" s="27">
        <f t="shared" si="15"/>
        <v>73154.166666666672</v>
      </c>
    </row>
    <row r="73" spans="1:15" x14ac:dyDescent="0.3">
      <c r="A73" s="10" t="str">
        <v>EMP070</v>
      </c>
      <c r="B73" s="4" t="str">
        <v>Rahul Krishnan</v>
      </c>
      <c r="C73" s="4" t="str">
        <f>_xlfn.XLOOKUP(A73,'EMPLOYEE MASTER DATA'!A73:A372,'EMPLOYEE MASTER DATA'!D73:D372)</f>
        <v>Accounts</v>
      </c>
      <c r="D73" s="4" t="str">
        <f>_xlfn.XLOOKUP(A73,'EMPLOYEE MASTER DATA'!A73:A372,'EMPLOYEE MASTER DATA'!E73:E372)</f>
        <v>Accounts Manager</v>
      </c>
      <c r="E73" s="26">
        <f>_xlfn.XLOOKUP(A73,'EMPLOYEE MASTER DATA'!A73:A372,'EMPLOYEE MASTER DATA'!F73:F372)</f>
        <v>62000</v>
      </c>
      <c r="F73" s="26">
        <f t="shared" si="9"/>
        <v>2583.3333333333335</v>
      </c>
      <c r="G73" s="4">
        <v>21</v>
      </c>
      <c r="H73" s="4">
        <f>_xlfn.XLOOKUP(A73,'MONTHLY ATTENDANCE SUMMARY'!A72:A371,'MONTHLY ATTENDANCE SUMMARY'!F72:F371)</f>
        <v>2</v>
      </c>
      <c r="I73" s="4">
        <f t="shared" si="10"/>
        <v>1</v>
      </c>
      <c r="J73" s="4">
        <f t="shared" si="11"/>
        <v>1</v>
      </c>
      <c r="K73" s="26">
        <f t="shared" si="12"/>
        <v>58125</v>
      </c>
      <c r="L73" s="26">
        <f t="shared" si="8"/>
        <v>7440</v>
      </c>
      <c r="M73" s="26">
        <f t="shared" si="13"/>
        <v>200</v>
      </c>
      <c r="N73" s="26">
        <f t="shared" si="14"/>
        <v>0</v>
      </c>
      <c r="O73" s="27">
        <f t="shared" si="15"/>
        <v>50485</v>
      </c>
    </row>
    <row r="74" spans="1:15" x14ac:dyDescent="0.3">
      <c r="A74" s="10" t="str">
        <v>EMP071</v>
      </c>
      <c r="B74" s="4" t="str">
        <v>Yuvaraj Kumar</v>
      </c>
      <c r="C74" s="4" t="str">
        <f>_xlfn.XLOOKUP(A74,'EMPLOYEE MASTER DATA'!A74:A373,'EMPLOYEE MASTER DATA'!D74:D373)</f>
        <v>Production</v>
      </c>
      <c r="D74" s="4" t="str">
        <f>_xlfn.XLOOKUP(A74,'EMPLOYEE MASTER DATA'!A74:A373,'EMPLOYEE MASTER DATA'!E74:E373)</f>
        <v>Production Executive</v>
      </c>
      <c r="E74" s="26">
        <f>_xlfn.XLOOKUP(A74,'EMPLOYEE MASTER DATA'!A74:A373,'EMPLOYEE MASTER DATA'!F74:F373)</f>
        <v>27500</v>
      </c>
      <c r="F74" s="26">
        <f t="shared" si="9"/>
        <v>1145.8333333333333</v>
      </c>
      <c r="G74" s="4">
        <v>21</v>
      </c>
      <c r="H74" s="4">
        <f>_xlfn.XLOOKUP(A74,'MONTHLY ATTENDANCE SUMMARY'!A73:A372,'MONTHLY ATTENDANCE SUMMARY'!F73:F372)</f>
        <v>1</v>
      </c>
      <c r="I74" s="4">
        <f t="shared" si="10"/>
        <v>1</v>
      </c>
      <c r="J74" s="4">
        <f t="shared" si="11"/>
        <v>0</v>
      </c>
      <c r="K74" s="26">
        <f t="shared" si="12"/>
        <v>25208.333333333332</v>
      </c>
      <c r="L74" s="26">
        <f t="shared" si="8"/>
        <v>3300</v>
      </c>
      <c r="M74" s="26">
        <f t="shared" si="13"/>
        <v>200</v>
      </c>
      <c r="N74" s="26">
        <f t="shared" si="14"/>
        <v>0</v>
      </c>
      <c r="O74" s="27">
        <f t="shared" si="15"/>
        <v>21708.333333333332</v>
      </c>
    </row>
    <row r="75" spans="1:15" x14ac:dyDescent="0.3">
      <c r="A75" s="10" t="str">
        <v>EMP072</v>
      </c>
      <c r="B75" s="4" t="str">
        <v>Sanjay S</v>
      </c>
      <c r="C75" s="4" t="str">
        <f>_xlfn.XLOOKUP(A75,'EMPLOYEE MASTER DATA'!A75:A374,'EMPLOYEE MASTER DATA'!D75:D374)</f>
        <v>Accounts</v>
      </c>
      <c r="D75" s="4" t="str">
        <f>_xlfn.XLOOKUP(A75,'EMPLOYEE MASTER DATA'!A75:A374,'EMPLOYEE MASTER DATA'!E75:E374)</f>
        <v>Finance Executive</v>
      </c>
      <c r="E75" s="26">
        <f>_xlfn.XLOOKUP(A75,'EMPLOYEE MASTER DATA'!A75:A374,'EMPLOYEE MASTER DATA'!F75:F374)</f>
        <v>36000</v>
      </c>
      <c r="F75" s="26">
        <f t="shared" si="9"/>
        <v>1500</v>
      </c>
      <c r="G75" s="4">
        <v>21</v>
      </c>
      <c r="H75" s="4">
        <f>_xlfn.XLOOKUP(A75,'MONTHLY ATTENDANCE SUMMARY'!A74:A373,'MONTHLY ATTENDANCE SUMMARY'!F74:F373)</f>
        <v>1</v>
      </c>
      <c r="I75" s="4">
        <f t="shared" si="10"/>
        <v>1</v>
      </c>
      <c r="J75" s="4">
        <f t="shared" si="11"/>
        <v>0</v>
      </c>
      <c r="K75" s="26">
        <f t="shared" si="12"/>
        <v>33000</v>
      </c>
      <c r="L75" s="26">
        <f t="shared" si="8"/>
        <v>4320</v>
      </c>
      <c r="M75" s="26">
        <f t="shared" si="13"/>
        <v>200</v>
      </c>
      <c r="N75" s="26">
        <f t="shared" si="14"/>
        <v>0</v>
      </c>
      <c r="O75" s="27">
        <f t="shared" si="15"/>
        <v>28480</v>
      </c>
    </row>
    <row r="76" spans="1:15" x14ac:dyDescent="0.3">
      <c r="A76" s="10" t="str">
        <v>EMP073</v>
      </c>
      <c r="B76" s="4" t="str">
        <v>Sanjay Kumar</v>
      </c>
      <c r="C76" s="4" t="str">
        <f>_xlfn.XLOOKUP(A76,'EMPLOYEE MASTER DATA'!A76:A375,'EMPLOYEE MASTER DATA'!D76:D375)</f>
        <v>Business Development</v>
      </c>
      <c r="D76" s="4" t="str">
        <f>_xlfn.XLOOKUP(A76,'EMPLOYEE MASTER DATA'!A76:A375,'EMPLOYEE MASTER DATA'!E76:E375)</f>
        <v>Senior Business Development Executive</v>
      </c>
      <c r="E76" s="26">
        <f>_xlfn.XLOOKUP(A76,'EMPLOYEE MASTER DATA'!A76:A375,'EMPLOYEE MASTER DATA'!F76:F375)</f>
        <v>42500</v>
      </c>
      <c r="F76" s="26">
        <f t="shared" si="9"/>
        <v>1770.8333333333333</v>
      </c>
      <c r="G76" s="4">
        <v>20</v>
      </c>
      <c r="H76" s="4">
        <f>_xlfn.XLOOKUP(A76,'MONTHLY ATTENDANCE SUMMARY'!A75:A374,'MONTHLY ATTENDANCE SUMMARY'!F75:F374)</f>
        <v>2</v>
      </c>
      <c r="I76" s="4">
        <f t="shared" si="10"/>
        <v>1</v>
      </c>
      <c r="J76" s="4">
        <f t="shared" si="11"/>
        <v>1</v>
      </c>
      <c r="K76" s="26">
        <f t="shared" si="12"/>
        <v>38072.916666666664</v>
      </c>
      <c r="L76" s="26">
        <f t="shared" si="8"/>
        <v>5100</v>
      </c>
      <c r="M76" s="26">
        <f t="shared" si="13"/>
        <v>200</v>
      </c>
      <c r="N76" s="26">
        <f t="shared" si="14"/>
        <v>0</v>
      </c>
      <c r="O76" s="27">
        <f t="shared" si="15"/>
        <v>32772.916666666664</v>
      </c>
    </row>
    <row r="77" spans="1:15" x14ac:dyDescent="0.3">
      <c r="A77" s="10" t="str">
        <v>EMP074</v>
      </c>
      <c r="B77" s="4" t="str">
        <v>Vinoth Raja</v>
      </c>
      <c r="C77" s="4" t="str">
        <f>_xlfn.XLOOKUP(A77,'EMPLOYEE MASTER DATA'!A77:A376,'EMPLOYEE MASTER DATA'!D77:D376)</f>
        <v>Admin</v>
      </c>
      <c r="D77" s="4" t="str">
        <f>_xlfn.XLOOKUP(A77,'EMPLOYEE MASTER DATA'!A77:A376,'EMPLOYEE MASTER DATA'!E77:E376)</f>
        <v>Facility Executive</v>
      </c>
      <c r="E77" s="26">
        <f>_xlfn.XLOOKUP(A77,'EMPLOYEE MASTER DATA'!A77:A376,'EMPLOYEE MASTER DATA'!F77:F376)</f>
        <v>28000</v>
      </c>
      <c r="F77" s="26">
        <f t="shared" si="9"/>
        <v>1166.6666666666667</v>
      </c>
      <c r="G77" s="4">
        <v>22</v>
      </c>
      <c r="H77" s="4">
        <f>_xlfn.XLOOKUP(A77,'MONTHLY ATTENDANCE SUMMARY'!A76:A375,'MONTHLY ATTENDANCE SUMMARY'!F76:F375)</f>
        <v>1</v>
      </c>
      <c r="I77" s="4">
        <f t="shared" si="10"/>
        <v>1</v>
      </c>
      <c r="J77" s="4">
        <f t="shared" si="11"/>
        <v>0</v>
      </c>
      <c r="K77" s="26">
        <f t="shared" si="12"/>
        <v>26833.333333333336</v>
      </c>
      <c r="L77" s="26">
        <f t="shared" si="8"/>
        <v>3360</v>
      </c>
      <c r="M77" s="26">
        <f t="shared" si="13"/>
        <v>200</v>
      </c>
      <c r="N77" s="26">
        <f t="shared" si="14"/>
        <v>0</v>
      </c>
      <c r="O77" s="27">
        <f t="shared" si="15"/>
        <v>23273.333333333336</v>
      </c>
    </row>
    <row r="78" spans="1:15" x14ac:dyDescent="0.3">
      <c r="A78" s="10" t="str">
        <v>EMP075</v>
      </c>
      <c r="B78" s="4" t="str">
        <v>Madhan B</v>
      </c>
      <c r="C78" s="4" t="str">
        <f>_xlfn.XLOOKUP(A78,'EMPLOYEE MASTER DATA'!A78:A377,'EMPLOYEE MASTER DATA'!D78:D377)</f>
        <v>Maintenance</v>
      </c>
      <c r="D78" s="4" t="str">
        <f>_xlfn.XLOOKUP(A78,'EMPLOYEE MASTER DATA'!A78:A377,'EMPLOYEE MASTER DATA'!E78:E377)</f>
        <v>Maintenance Engineer</v>
      </c>
      <c r="E78" s="26">
        <f>_xlfn.XLOOKUP(A78,'EMPLOYEE MASTER DATA'!A78:A377,'EMPLOYEE MASTER DATA'!F78:F377)</f>
        <v>46500</v>
      </c>
      <c r="F78" s="26">
        <f t="shared" si="9"/>
        <v>1937.5</v>
      </c>
      <c r="G78" s="4">
        <v>21</v>
      </c>
      <c r="H78" s="4">
        <f>_xlfn.XLOOKUP(A78,'MONTHLY ATTENDANCE SUMMARY'!A77:A376,'MONTHLY ATTENDANCE SUMMARY'!F77:F376)</f>
        <v>1</v>
      </c>
      <c r="I78" s="4">
        <f t="shared" si="10"/>
        <v>1</v>
      </c>
      <c r="J78" s="4">
        <f t="shared" si="11"/>
        <v>0</v>
      </c>
      <c r="K78" s="26">
        <f t="shared" si="12"/>
        <v>42625</v>
      </c>
      <c r="L78" s="26">
        <f t="shared" si="8"/>
        <v>5580</v>
      </c>
      <c r="M78" s="26">
        <f t="shared" si="13"/>
        <v>200</v>
      </c>
      <c r="N78" s="26">
        <f t="shared" si="14"/>
        <v>0</v>
      </c>
      <c r="O78" s="27">
        <f t="shared" si="15"/>
        <v>36845</v>
      </c>
    </row>
    <row r="79" spans="1:15" x14ac:dyDescent="0.3">
      <c r="A79" s="10" t="str">
        <v>EMP076</v>
      </c>
      <c r="B79" s="4" t="str">
        <v>Prakash T</v>
      </c>
      <c r="C79" s="4" t="str">
        <f>_xlfn.XLOOKUP(A79,'EMPLOYEE MASTER DATA'!A79:A378,'EMPLOYEE MASTER DATA'!D79:D378)</f>
        <v>Accounts</v>
      </c>
      <c r="D79" s="4" t="str">
        <f>_xlfn.XLOOKUP(A79,'EMPLOYEE MASTER DATA'!A79:A378,'EMPLOYEE MASTER DATA'!E79:E378)</f>
        <v>Accountant</v>
      </c>
      <c r="E79" s="26">
        <f>_xlfn.XLOOKUP(A79,'EMPLOYEE MASTER DATA'!A79:A378,'EMPLOYEE MASTER DATA'!F79:F378)</f>
        <v>29500</v>
      </c>
      <c r="F79" s="26">
        <f t="shared" si="9"/>
        <v>1229.1666666666667</v>
      </c>
      <c r="G79" s="4">
        <v>18</v>
      </c>
      <c r="H79" s="4">
        <f>_xlfn.XLOOKUP(A79,'MONTHLY ATTENDANCE SUMMARY'!A78:A377,'MONTHLY ATTENDANCE SUMMARY'!F78:F377)</f>
        <v>1</v>
      </c>
      <c r="I79" s="4">
        <f t="shared" si="10"/>
        <v>1</v>
      </c>
      <c r="J79" s="4">
        <f t="shared" si="11"/>
        <v>0</v>
      </c>
      <c r="K79" s="26">
        <f t="shared" si="12"/>
        <v>23354.166666666668</v>
      </c>
      <c r="L79" s="26">
        <f t="shared" si="8"/>
        <v>3540</v>
      </c>
      <c r="M79" s="26">
        <f t="shared" si="13"/>
        <v>200</v>
      </c>
      <c r="N79" s="26">
        <f t="shared" si="14"/>
        <v>0</v>
      </c>
      <c r="O79" s="27">
        <f t="shared" si="15"/>
        <v>19614.166666666668</v>
      </c>
    </row>
    <row r="80" spans="1:15" x14ac:dyDescent="0.3">
      <c r="A80" s="10" t="str">
        <v>EMP077</v>
      </c>
      <c r="B80" s="4" t="str">
        <v>Mohan Narayanan</v>
      </c>
      <c r="C80" s="4" t="str">
        <f>_xlfn.XLOOKUP(A80,'EMPLOYEE MASTER DATA'!A80:A379,'EMPLOYEE MASTER DATA'!D80:D379)</f>
        <v>Maintenance</v>
      </c>
      <c r="D80" s="4" t="str">
        <f>_xlfn.XLOOKUP(A80,'EMPLOYEE MASTER DATA'!A80:A379,'EMPLOYEE MASTER DATA'!E80:E379)</f>
        <v>Mechanical Technician</v>
      </c>
      <c r="E80" s="26">
        <f>_xlfn.XLOOKUP(A80,'EMPLOYEE MASTER DATA'!A80:A379,'EMPLOYEE MASTER DATA'!F80:F379)</f>
        <v>29500</v>
      </c>
      <c r="F80" s="26">
        <f t="shared" si="9"/>
        <v>1229.1666666666667</v>
      </c>
      <c r="G80" s="4">
        <v>21</v>
      </c>
      <c r="H80" s="4">
        <f>_xlfn.XLOOKUP(A80,'MONTHLY ATTENDANCE SUMMARY'!A79:A378,'MONTHLY ATTENDANCE SUMMARY'!F79:F378)</f>
        <v>2</v>
      </c>
      <c r="I80" s="4">
        <f t="shared" si="10"/>
        <v>1</v>
      </c>
      <c r="J80" s="4">
        <f t="shared" si="11"/>
        <v>1</v>
      </c>
      <c r="K80" s="26">
        <f t="shared" si="12"/>
        <v>27656.25</v>
      </c>
      <c r="L80" s="26">
        <f t="shared" si="8"/>
        <v>3540</v>
      </c>
      <c r="M80" s="26">
        <f t="shared" si="13"/>
        <v>200</v>
      </c>
      <c r="N80" s="26">
        <f t="shared" si="14"/>
        <v>0</v>
      </c>
      <c r="O80" s="27">
        <f t="shared" si="15"/>
        <v>23916.25</v>
      </c>
    </row>
    <row r="81" spans="1:15" x14ac:dyDescent="0.3">
      <c r="A81" s="10" t="str">
        <v>EMP078</v>
      </c>
      <c r="B81" s="4" t="str">
        <v>Harish Babu</v>
      </c>
      <c r="C81" s="4" t="str">
        <f>_xlfn.XLOOKUP(A81,'EMPLOYEE MASTER DATA'!A81:A380,'EMPLOYEE MASTER DATA'!D81:D380)</f>
        <v>Business Development</v>
      </c>
      <c r="D81" s="4" t="str">
        <f>_xlfn.XLOOKUP(A81,'EMPLOYEE MASTER DATA'!A81:A380,'EMPLOYEE MASTER DATA'!E81:E380)</f>
        <v>Growth Executive</v>
      </c>
      <c r="E81" s="26">
        <f>_xlfn.XLOOKUP(A81,'EMPLOYEE MASTER DATA'!A81:A380,'EMPLOYEE MASTER DATA'!F81:F380)</f>
        <v>40500</v>
      </c>
      <c r="F81" s="26">
        <f t="shared" si="9"/>
        <v>1687.5</v>
      </c>
      <c r="G81" s="4">
        <v>18</v>
      </c>
      <c r="H81" s="4">
        <f>_xlfn.XLOOKUP(A81,'MONTHLY ATTENDANCE SUMMARY'!A80:A379,'MONTHLY ATTENDANCE SUMMARY'!F80:F379)</f>
        <v>2</v>
      </c>
      <c r="I81" s="4">
        <f t="shared" si="10"/>
        <v>1</v>
      </c>
      <c r="J81" s="4">
        <f t="shared" si="11"/>
        <v>1</v>
      </c>
      <c r="K81" s="26">
        <f t="shared" si="12"/>
        <v>32906.25</v>
      </c>
      <c r="L81" s="26">
        <f t="shared" si="8"/>
        <v>4860</v>
      </c>
      <c r="M81" s="26">
        <f t="shared" si="13"/>
        <v>200</v>
      </c>
      <c r="N81" s="26">
        <f t="shared" si="14"/>
        <v>0</v>
      </c>
      <c r="O81" s="27">
        <f t="shared" si="15"/>
        <v>27846.25</v>
      </c>
    </row>
    <row r="82" spans="1:15" x14ac:dyDescent="0.3">
      <c r="A82" s="10" t="str">
        <v>EMP079</v>
      </c>
      <c r="B82" s="4" t="str">
        <v>Nithin P</v>
      </c>
      <c r="C82" s="4" t="str">
        <f>_xlfn.XLOOKUP(A82,'EMPLOYEE MASTER DATA'!A82:A381,'EMPLOYEE MASTER DATA'!D82:D381)</f>
        <v>Front Office</v>
      </c>
      <c r="D82" s="4" t="str">
        <f>_xlfn.XLOOKUP(A82,'EMPLOYEE MASTER DATA'!A82:A381,'EMPLOYEE MASTER DATA'!E82:E381)</f>
        <v>Guest Relations Executive</v>
      </c>
      <c r="E82" s="26">
        <f>_xlfn.XLOOKUP(A82,'EMPLOYEE MASTER DATA'!A82:A381,'EMPLOYEE MASTER DATA'!F82:F381)</f>
        <v>32500</v>
      </c>
      <c r="F82" s="26">
        <f t="shared" si="9"/>
        <v>1354.1666666666667</v>
      </c>
      <c r="G82" s="4">
        <v>18</v>
      </c>
      <c r="H82" s="4">
        <f>_xlfn.XLOOKUP(A82,'MONTHLY ATTENDANCE SUMMARY'!A81:A380,'MONTHLY ATTENDANCE SUMMARY'!F81:F380)</f>
        <v>2</v>
      </c>
      <c r="I82" s="4">
        <f t="shared" si="10"/>
        <v>1</v>
      </c>
      <c r="J82" s="4">
        <f t="shared" si="11"/>
        <v>1</v>
      </c>
      <c r="K82" s="26">
        <f t="shared" si="12"/>
        <v>26406.25</v>
      </c>
      <c r="L82" s="26">
        <f t="shared" si="8"/>
        <v>3900</v>
      </c>
      <c r="M82" s="26">
        <f t="shared" si="13"/>
        <v>200</v>
      </c>
      <c r="N82" s="26">
        <f t="shared" si="14"/>
        <v>0</v>
      </c>
      <c r="O82" s="27">
        <f t="shared" si="15"/>
        <v>22306.25</v>
      </c>
    </row>
    <row r="83" spans="1:15" x14ac:dyDescent="0.3">
      <c r="A83" s="10" t="str">
        <v>EMP080</v>
      </c>
      <c r="B83" s="4" t="str">
        <v>Aravind N</v>
      </c>
      <c r="C83" s="4" t="str">
        <f>_xlfn.XLOOKUP(A83,'EMPLOYEE MASTER DATA'!A83:A382,'EMPLOYEE MASTER DATA'!D83:D382)</f>
        <v>Business Development</v>
      </c>
      <c r="D83" s="4" t="str">
        <f>_xlfn.XLOOKUP(A83,'EMPLOYEE MASTER DATA'!A83:A382,'EMPLOYEE MASTER DATA'!E83:E382)</f>
        <v>Business Development Manager</v>
      </c>
      <c r="E83" s="26">
        <f>_xlfn.XLOOKUP(A83,'EMPLOYEE MASTER DATA'!A83:A382,'EMPLOYEE MASTER DATA'!F83:F382)</f>
        <v>64500</v>
      </c>
      <c r="F83" s="26">
        <f t="shared" si="9"/>
        <v>2687.5</v>
      </c>
      <c r="G83" s="4">
        <v>20</v>
      </c>
      <c r="H83" s="4">
        <f>_xlfn.XLOOKUP(A83,'MONTHLY ATTENDANCE SUMMARY'!A82:A381,'MONTHLY ATTENDANCE SUMMARY'!F82:F381)</f>
        <v>1</v>
      </c>
      <c r="I83" s="4">
        <f t="shared" si="10"/>
        <v>1</v>
      </c>
      <c r="J83" s="4">
        <f t="shared" si="11"/>
        <v>0</v>
      </c>
      <c r="K83" s="26">
        <f t="shared" si="12"/>
        <v>56437.5</v>
      </c>
      <c r="L83" s="26">
        <f t="shared" si="8"/>
        <v>7740</v>
      </c>
      <c r="M83" s="26">
        <f t="shared" si="13"/>
        <v>200</v>
      </c>
      <c r="N83" s="26">
        <f t="shared" si="14"/>
        <v>0</v>
      </c>
      <c r="O83" s="27">
        <f t="shared" si="15"/>
        <v>48497.5</v>
      </c>
    </row>
    <row r="84" spans="1:15" x14ac:dyDescent="0.3">
      <c r="A84" s="10" t="str">
        <v>EMP081</v>
      </c>
      <c r="B84" s="4" t="str">
        <v>Aravind S</v>
      </c>
      <c r="C84" s="4" t="str">
        <f>_xlfn.XLOOKUP(A84,'EMPLOYEE MASTER DATA'!A84:A383,'EMPLOYEE MASTER DATA'!D84:D383)</f>
        <v>IT</v>
      </c>
      <c r="D84" s="4" t="str">
        <f>_xlfn.XLOOKUP(A84,'EMPLOYEE MASTER DATA'!A84:A383,'EMPLOYEE MASTER DATA'!E84:E383)</f>
        <v>IT Manager</v>
      </c>
      <c r="E84" s="26">
        <f>_xlfn.XLOOKUP(A84,'EMPLOYEE MASTER DATA'!A84:A383,'EMPLOYEE MASTER DATA'!F84:F383)</f>
        <v>92500</v>
      </c>
      <c r="F84" s="26">
        <f t="shared" si="9"/>
        <v>3854.1666666666665</v>
      </c>
      <c r="G84" s="4">
        <v>19</v>
      </c>
      <c r="H84" s="4">
        <f>_xlfn.XLOOKUP(A84,'MONTHLY ATTENDANCE SUMMARY'!A83:A382,'MONTHLY ATTENDANCE SUMMARY'!F83:F382)</f>
        <v>1</v>
      </c>
      <c r="I84" s="4">
        <f t="shared" si="10"/>
        <v>1</v>
      </c>
      <c r="J84" s="4">
        <f t="shared" si="11"/>
        <v>0</v>
      </c>
      <c r="K84" s="26">
        <f t="shared" si="12"/>
        <v>77083.333333333328</v>
      </c>
      <c r="L84" s="26">
        <f t="shared" si="8"/>
        <v>11100</v>
      </c>
      <c r="M84" s="26">
        <f t="shared" si="13"/>
        <v>200</v>
      </c>
      <c r="N84" s="26">
        <f t="shared" si="14"/>
        <v>0</v>
      </c>
      <c r="O84" s="27">
        <f t="shared" si="15"/>
        <v>65783.333333333328</v>
      </c>
    </row>
    <row r="85" spans="1:15" x14ac:dyDescent="0.3">
      <c r="A85" s="10" t="str">
        <v>EMP082</v>
      </c>
      <c r="B85" s="4" t="str">
        <v>Bharath K</v>
      </c>
      <c r="C85" s="4" t="str">
        <f>_xlfn.XLOOKUP(A85,'EMPLOYEE MASTER DATA'!A85:A384,'EMPLOYEE MASTER DATA'!D85:D384)</f>
        <v>Customer Relationship</v>
      </c>
      <c r="D85" s="4" t="str">
        <f>_xlfn.XLOOKUP(A85,'EMPLOYEE MASTER DATA'!A85:A384,'EMPLOYEE MASTER DATA'!E85:E384)</f>
        <v>Customer Success Executive</v>
      </c>
      <c r="E85" s="26">
        <f>_xlfn.XLOOKUP(A85,'EMPLOYEE MASTER DATA'!A85:A384,'EMPLOYEE MASTER DATA'!F85:F384)</f>
        <v>42000</v>
      </c>
      <c r="F85" s="26">
        <f t="shared" si="9"/>
        <v>1750</v>
      </c>
      <c r="G85" s="4">
        <v>19</v>
      </c>
      <c r="H85" s="4">
        <f>_xlfn.XLOOKUP(A85,'MONTHLY ATTENDANCE SUMMARY'!A84:A383,'MONTHLY ATTENDANCE SUMMARY'!F84:F383)</f>
        <v>2</v>
      </c>
      <c r="I85" s="4">
        <f t="shared" si="10"/>
        <v>1</v>
      </c>
      <c r="J85" s="4">
        <f t="shared" si="11"/>
        <v>1</v>
      </c>
      <c r="K85" s="26">
        <f t="shared" si="12"/>
        <v>35875</v>
      </c>
      <c r="L85" s="26">
        <f t="shared" si="8"/>
        <v>5040</v>
      </c>
      <c r="M85" s="26">
        <f t="shared" si="13"/>
        <v>200</v>
      </c>
      <c r="N85" s="26">
        <f t="shared" si="14"/>
        <v>0</v>
      </c>
      <c r="O85" s="27">
        <f t="shared" si="15"/>
        <v>30635</v>
      </c>
    </row>
    <row r="86" spans="1:15" x14ac:dyDescent="0.3">
      <c r="A86" s="10" t="str">
        <v>EMP083</v>
      </c>
      <c r="B86" s="4" t="str">
        <v>Arun R</v>
      </c>
      <c r="C86" s="4" t="str">
        <f>_xlfn.XLOOKUP(A86,'EMPLOYEE MASTER DATA'!A86:A385,'EMPLOYEE MASTER DATA'!D86:D385)</f>
        <v>Production</v>
      </c>
      <c r="D86" s="4" t="str">
        <f>_xlfn.XLOOKUP(A86,'EMPLOYEE MASTER DATA'!A86:A385,'EMPLOYEE MASTER DATA'!E86:E385)</f>
        <v>Production Manager</v>
      </c>
      <c r="E86" s="26">
        <f>_xlfn.XLOOKUP(A86,'EMPLOYEE MASTER DATA'!A86:A385,'EMPLOYEE MASTER DATA'!F86:F385)</f>
        <v>55500</v>
      </c>
      <c r="F86" s="26">
        <f t="shared" si="9"/>
        <v>2312.5</v>
      </c>
      <c r="G86" s="4">
        <v>22</v>
      </c>
      <c r="H86" s="4">
        <f>_xlfn.XLOOKUP(A86,'MONTHLY ATTENDANCE SUMMARY'!A85:A384,'MONTHLY ATTENDANCE SUMMARY'!F85:F384)</f>
        <v>1</v>
      </c>
      <c r="I86" s="4">
        <f t="shared" si="10"/>
        <v>1</v>
      </c>
      <c r="J86" s="4">
        <f t="shared" si="11"/>
        <v>0</v>
      </c>
      <c r="K86" s="26">
        <f t="shared" si="12"/>
        <v>53187.5</v>
      </c>
      <c r="L86" s="26">
        <f t="shared" si="8"/>
        <v>6660</v>
      </c>
      <c r="M86" s="26">
        <f t="shared" si="13"/>
        <v>200</v>
      </c>
      <c r="N86" s="26">
        <f t="shared" si="14"/>
        <v>0</v>
      </c>
      <c r="O86" s="27">
        <f t="shared" si="15"/>
        <v>46327.5</v>
      </c>
    </row>
    <row r="87" spans="1:15" x14ac:dyDescent="0.3">
      <c r="A87" s="10" t="str">
        <v>EMP084</v>
      </c>
      <c r="B87" s="4" t="str">
        <v>Arun Raja</v>
      </c>
      <c r="C87" s="4" t="str">
        <f>_xlfn.XLOOKUP(A87,'EMPLOYEE MASTER DATA'!A87:A386,'EMPLOYEE MASTER DATA'!D87:D386)</f>
        <v>Business Development</v>
      </c>
      <c r="D87" s="4" t="str">
        <f>_xlfn.XLOOKUP(A87,'EMPLOYEE MASTER DATA'!A87:A386,'EMPLOYEE MASTER DATA'!E87:E386)</f>
        <v>Senior Business Development Executive</v>
      </c>
      <c r="E87" s="26">
        <f>_xlfn.XLOOKUP(A87,'EMPLOYEE MASTER DATA'!A87:A386,'EMPLOYEE MASTER DATA'!F87:F386)</f>
        <v>49000</v>
      </c>
      <c r="F87" s="26">
        <f t="shared" si="9"/>
        <v>2041.6666666666667</v>
      </c>
      <c r="G87" s="4">
        <v>22</v>
      </c>
      <c r="H87" s="4">
        <f>_xlfn.XLOOKUP(A87,'MONTHLY ATTENDANCE SUMMARY'!A86:A385,'MONTHLY ATTENDANCE SUMMARY'!F86:F385)</f>
        <v>2</v>
      </c>
      <c r="I87" s="4">
        <f t="shared" si="10"/>
        <v>1</v>
      </c>
      <c r="J87" s="4">
        <f t="shared" si="11"/>
        <v>1</v>
      </c>
      <c r="K87" s="26">
        <f t="shared" si="12"/>
        <v>47979.166666666672</v>
      </c>
      <c r="L87" s="26">
        <f t="shared" si="8"/>
        <v>5880</v>
      </c>
      <c r="M87" s="26">
        <f t="shared" si="13"/>
        <v>200</v>
      </c>
      <c r="N87" s="26">
        <f t="shared" si="14"/>
        <v>0</v>
      </c>
      <c r="O87" s="27">
        <f t="shared" si="15"/>
        <v>41899.166666666672</v>
      </c>
    </row>
    <row r="88" spans="1:15" x14ac:dyDescent="0.3">
      <c r="A88" s="10" t="str">
        <v>EMP085</v>
      </c>
      <c r="B88" s="4" t="str">
        <v>Manoj Krishnan</v>
      </c>
      <c r="C88" s="4" t="str">
        <f>_xlfn.XLOOKUP(A88,'EMPLOYEE MASTER DATA'!A88:A387,'EMPLOYEE MASTER DATA'!D88:D387)</f>
        <v>HR</v>
      </c>
      <c r="D88" s="4" t="str">
        <f>_xlfn.XLOOKUP(A88,'EMPLOYEE MASTER DATA'!A88:A387,'EMPLOYEE MASTER DATA'!E88:E387)</f>
        <v>HR Manager</v>
      </c>
      <c r="E88" s="26">
        <f>_xlfn.XLOOKUP(A88,'EMPLOYEE MASTER DATA'!A88:A387,'EMPLOYEE MASTER DATA'!F88:F387)</f>
        <v>70500</v>
      </c>
      <c r="F88" s="26">
        <f t="shared" si="9"/>
        <v>2937.5</v>
      </c>
      <c r="G88" s="4">
        <v>21</v>
      </c>
      <c r="H88" s="4">
        <f>_xlfn.XLOOKUP(A88,'MONTHLY ATTENDANCE SUMMARY'!A87:A386,'MONTHLY ATTENDANCE SUMMARY'!F87:F386)</f>
        <v>1</v>
      </c>
      <c r="I88" s="4">
        <f t="shared" si="10"/>
        <v>1</v>
      </c>
      <c r="J88" s="4">
        <f t="shared" si="11"/>
        <v>0</v>
      </c>
      <c r="K88" s="26">
        <f t="shared" si="12"/>
        <v>64625</v>
      </c>
      <c r="L88" s="26">
        <f t="shared" si="8"/>
        <v>8460</v>
      </c>
      <c r="M88" s="26">
        <f t="shared" si="13"/>
        <v>200</v>
      </c>
      <c r="N88" s="26">
        <f t="shared" si="14"/>
        <v>0</v>
      </c>
      <c r="O88" s="27">
        <f t="shared" si="15"/>
        <v>55965</v>
      </c>
    </row>
    <row r="89" spans="1:15" x14ac:dyDescent="0.3">
      <c r="A89" s="10" t="str">
        <v>EMP086</v>
      </c>
      <c r="B89" s="4" t="str">
        <v>Naveen B</v>
      </c>
      <c r="C89" s="4" t="str">
        <f>_xlfn.XLOOKUP(A89,'EMPLOYEE MASTER DATA'!A89:A388,'EMPLOYEE MASTER DATA'!D89:D388)</f>
        <v>Maintenance</v>
      </c>
      <c r="D89" s="4" t="str">
        <f>_xlfn.XLOOKUP(A89,'EMPLOYEE MASTER DATA'!A89:A388,'EMPLOYEE MASTER DATA'!E89:E388)</f>
        <v>Electrical Technician</v>
      </c>
      <c r="E89" s="26">
        <f>_xlfn.XLOOKUP(A89,'EMPLOYEE MASTER DATA'!A89:A388,'EMPLOYEE MASTER DATA'!F89:F388)</f>
        <v>33000</v>
      </c>
      <c r="F89" s="26">
        <f t="shared" si="9"/>
        <v>1375</v>
      </c>
      <c r="G89" s="4">
        <v>22</v>
      </c>
      <c r="H89" s="4">
        <f>_xlfn.XLOOKUP(A89,'MONTHLY ATTENDANCE SUMMARY'!A88:A387,'MONTHLY ATTENDANCE SUMMARY'!F88:F387)</f>
        <v>1</v>
      </c>
      <c r="I89" s="4">
        <f t="shared" si="10"/>
        <v>1</v>
      </c>
      <c r="J89" s="4">
        <f t="shared" si="11"/>
        <v>0</v>
      </c>
      <c r="K89" s="26">
        <f t="shared" si="12"/>
        <v>31625</v>
      </c>
      <c r="L89" s="26">
        <f t="shared" si="8"/>
        <v>3960</v>
      </c>
      <c r="M89" s="26">
        <f t="shared" si="13"/>
        <v>200</v>
      </c>
      <c r="N89" s="26">
        <f t="shared" si="14"/>
        <v>0</v>
      </c>
      <c r="O89" s="27">
        <f t="shared" si="15"/>
        <v>27465</v>
      </c>
    </row>
    <row r="90" spans="1:15" x14ac:dyDescent="0.3">
      <c r="A90" s="10" t="str">
        <v>EMP087</v>
      </c>
      <c r="B90" s="4" t="str">
        <v>Suresh Kumar</v>
      </c>
      <c r="C90" s="4" t="str">
        <f>_xlfn.XLOOKUP(A90,'EMPLOYEE MASTER DATA'!A90:A389,'EMPLOYEE MASTER DATA'!D90:D389)</f>
        <v>Maintenance</v>
      </c>
      <c r="D90" s="4" t="str">
        <f>_xlfn.XLOOKUP(A90,'EMPLOYEE MASTER DATA'!A90:A389,'EMPLOYEE MASTER DATA'!E90:E389)</f>
        <v>Maintenance Manager</v>
      </c>
      <c r="E90" s="26">
        <f>_xlfn.XLOOKUP(A90,'EMPLOYEE MASTER DATA'!A90:A389,'EMPLOYEE MASTER DATA'!F90:F389)</f>
        <v>65500</v>
      </c>
      <c r="F90" s="26">
        <f t="shared" si="9"/>
        <v>2729.1666666666665</v>
      </c>
      <c r="G90" s="4">
        <v>22</v>
      </c>
      <c r="H90" s="4">
        <f>_xlfn.XLOOKUP(A90,'MONTHLY ATTENDANCE SUMMARY'!A89:A388,'MONTHLY ATTENDANCE SUMMARY'!F89:F388)</f>
        <v>1</v>
      </c>
      <c r="I90" s="4">
        <f t="shared" si="10"/>
        <v>1</v>
      </c>
      <c r="J90" s="4">
        <f t="shared" si="11"/>
        <v>0</v>
      </c>
      <c r="K90" s="26">
        <f t="shared" si="12"/>
        <v>62770.833333333328</v>
      </c>
      <c r="L90" s="26">
        <f t="shared" si="8"/>
        <v>7860</v>
      </c>
      <c r="M90" s="26">
        <f t="shared" si="13"/>
        <v>200</v>
      </c>
      <c r="N90" s="26">
        <f t="shared" si="14"/>
        <v>0</v>
      </c>
      <c r="O90" s="27">
        <f t="shared" si="15"/>
        <v>54710.833333333328</v>
      </c>
    </row>
    <row r="91" spans="1:15" x14ac:dyDescent="0.3">
      <c r="A91" s="10" t="str">
        <v>EMP088</v>
      </c>
      <c r="B91" s="4" t="str">
        <v>Ashwin R</v>
      </c>
      <c r="C91" s="4" t="str">
        <f>_xlfn.XLOOKUP(A91,'EMPLOYEE MASTER DATA'!A91:A390,'EMPLOYEE MASTER DATA'!D91:D390)</f>
        <v>Sales</v>
      </c>
      <c r="D91" s="4" t="str">
        <f>_xlfn.XLOOKUP(A91,'EMPLOYEE MASTER DATA'!A91:A390,'EMPLOYEE MASTER DATA'!E91:E390)</f>
        <v>Senior Sales Executive</v>
      </c>
      <c r="E91" s="26">
        <f>_xlfn.XLOOKUP(A91,'EMPLOYEE MASTER DATA'!A91:A390,'EMPLOYEE MASTER DATA'!F91:F390)</f>
        <v>43500</v>
      </c>
      <c r="F91" s="26">
        <f t="shared" si="9"/>
        <v>1812.5</v>
      </c>
      <c r="G91" s="4">
        <v>22</v>
      </c>
      <c r="H91" s="4">
        <f>_xlfn.XLOOKUP(A91,'MONTHLY ATTENDANCE SUMMARY'!A90:A389,'MONTHLY ATTENDANCE SUMMARY'!F90:F389)</f>
        <v>2</v>
      </c>
      <c r="I91" s="4">
        <f t="shared" si="10"/>
        <v>1</v>
      </c>
      <c r="J91" s="4">
        <f t="shared" si="11"/>
        <v>1</v>
      </c>
      <c r="K91" s="26">
        <f t="shared" si="12"/>
        <v>42593.75</v>
      </c>
      <c r="L91" s="26">
        <f t="shared" si="8"/>
        <v>5220</v>
      </c>
      <c r="M91" s="26">
        <f t="shared" si="13"/>
        <v>200</v>
      </c>
      <c r="N91" s="26">
        <f t="shared" si="14"/>
        <v>0</v>
      </c>
      <c r="O91" s="27">
        <f t="shared" si="15"/>
        <v>37173.75</v>
      </c>
    </row>
    <row r="92" spans="1:15" x14ac:dyDescent="0.3">
      <c r="A92" s="10" t="str">
        <v>EMP089</v>
      </c>
      <c r="B92" s="4" t="str">
        <v>Vinoth G</v>
      </c>
      <c r="C92" s="4" t="str">
        <f>_xlfn.XLOOKUP(A92,'EMPLOYEE MASTER DATA'!A92:A391,'EMPLOYEE MASTER DATA'!D92:D391)</f>
        <v>Maintenance</v>
      </c>
      <c r="D92" s="4" t="str">
        <f>_xlfn.XLOOKUP(A92,'EMPLOYEE MASTER DATA'!A92:A391,'EMPLOYEE MASTER DATA'!E92:E391)</f>
        <v>Maintenance Manager</v>
      </c>
      <c r="E92" s="26">
        <f>_xlfn.XLOOKUP(A92,'EMPLOYEE MASTER DATA'!A92:A391,'EMPLOYEE MASTER DATA'!F92:F391)</f>
        <v>72500</v>
      </c>
      <c r="F92" s="26">
        <f t="shared" si="9"/>
        <v>3020.8333333333335</v>
      </c>
      <c r="G92" s="4">
        <v>21</v>
      </c>
      <c r="H92" s="4">
        <f>_xlfn.XLOOKUP(A92,'MONTHLY ATTENDANCE SUMMARY'!A91:A390,'MONTHLY ATTENDANCE SUMMARY'!F91:F390)</f>
        <v>2</v>
      </c>
      <c r="I92" s="4">
        <f t="shared" si="10"/>
        <v>1</v>
      </c>
      <c r="J92" s="4">
        <f t="shared" si="11"/>
        <v>1</v>
      </c>
      <c r="K92" s="26">
        <f t="shared" si="12"/>
        <v>67968.75</v>
      </c>
      <c r="L92" s="26">
        <f t="shared" si="8"/>
        <v>8700</v>
      </c>
      <c r="M92" s="26">
        <f t="shared" si="13"/>
        <v>200</v>
      </c>
      <c r="N92" s="26">
        <f t="shared" si="14"/>
        <v>0</v>
      </c>
      <c r="O92" s="27">
        <f t="shared" si="15"/>
        <v>59068.75</v>
      </c>
    </row>
    <row r="93" spans="1:15" x14ac:dyDescent="0.3">
      <c r="A93" s="10" t="str">
        <v>EMP090</v>
      </c>
      <c r="B93" s="4" t="str">
        <v>Ajay K</v>
      </c>
      <c r="C93" s="4" t="str">
        <f>_xlfn.XLOOKUP(A93,'EMPLOYEE MASTER DATA'!A93:A392,'EMPLOYEE MASTER DATA'!D93:D392)</f>
        <v>Sales</v>
      </c>
      <c r="D93" s="4" t="str">
        <f>_xlfn.XLOOKUP(A93,'EMPLOYEE MASTER DATA'!A93:A392,'EMPLOYEE MASTER DATA'!E93:E392)</f>
        <v>Area Sales Executive</v>
      </c>
      <c r="E93" s="26">
        <f>_xlfn.XLOOKUP(A93,'EMPLOYEE MASTER DATA'!A93:A392,'EMPLOYEE MASTER DATA'!F93:F392)</f>
        <v>32500</v>
      </c>
      <c r="F93" s="26">
        <f t="shared" si="9"/>
        <v>1354.1666666666667</v>
      </c>
      <c r="G93" s="4">
        <v>18</v>
      </c>
      <c r="H93" s="4">
        <f>_xlfn.XLOOKUP(A93,'MONTHLY ATTENDANCE SUMMARY'!A92:A391,'MONTHLY ATTENDANCE SUMMARY'!F92:F391)</f>
        <v>2</v>
      </c>
      <c r="I93" s="4">
        <f t="shared" si="10"/>
        <v>1</v>
      </c>
      <c r="J93" s="4">
        <f t="shared" si="11"/>
        <v>1</v>
      </c>
      <c r="K93" s="26">
        <f t="shared" si="12"/>
        <v>26406.25</v>
      </c>
      <c r="L93" s="26">
        <f t="shared" si="8"/>
        <v>3900</v>
      </c>
      <c r="M93" s="26">
        <f t="shared" si="13"/>
        <v>200</v>
      </c>
      <c r="N93" s="26">
        <f t="shared" si="14"/>
        <v>0</v>
      </c>
      <c r="O93" s="27">
        <f t="shared" si="15"/>
        <v>22306.25</v>
      </c>
    </row>
    <row r="94" spans="1:15" x14ac:dyDescent="0.3">
      <c r="A94" s="10" t="str">
        <v>EMP091</v>
      </c>
      <c r="B94" s="4" t="str">
        <v>Karthik K</v>
      </c>
      <c r="C94" s="4" t="str">
        <f>_xlfn.XLOOKUP(A94,'EMPLOYEE MASTER DATA'!A94:A393,'EMPLOYEE MASTER DATA'!D94:D393)</f>
        <v>Production</v>
      </c>
      <c r="D94" s="4" t="str">
        <f>_xlfn.XLOOKUP(A94,'EMPLOYEE MASTER DATA'!A94:A393,'EMPLOYEE MASTER DATA'!E94:E393)</f>
        <v>Production Manager</v>
      </c>
      <c r="E94" s="26">
        <f>_xlfn.XLOOKUP(A94,'EMPLOYEE MASTER DATA'!A94:A393,'EMPLOYEE MASTER DATA'!F94:F393)</f>
        <v>57000</v>
      </c>
      <c r="F94" s="26">
        <f t="shared" si="9"/>
        <v>2375</v>
      </c>
      <c r="G94" s="4">
        <v>19</v>
      </c>
      <c r="H94" s="4">
        <f>_xlfn.XLOOKUP(A94,'MONTHLY ATTENDANCE SUMMARY'!A93:A392,'MONTHLY ATTENDANCE SUMMARY'!F93:F392)</f>
        <v>1</v>
      </c>
      <c r="I94" s="4">
        <f t="shared" si="10"/>
        <v>1</v>
      </c>
      <c r="J94" s="4">
        <f t="shared" si="11"/>
        <v>0</v>
      </c>
      <c r="K94" s="26">
        <f t="shared" si="12"/>
        <v>47500</v>
      </c>
      <c r="L94" s="26">
        <f t="shared" si="8"/>
        <v>6840</v>
      </c>
      <c r="M94" s="26">
        <f t="shared" si="13"/>
        <v>200</v>
      </c>
      <c r="N94" s="26">
        <f t="shared" si="14"/>
        <v>0</v>
      </c>
      <c r="O94" s="27">
        <f t="shared" si="15"/>
        <v>40460</v>
      </c>
    </row>
    <row r="95" spans="1:15" x14ac:dyDescent="0.3">
      <c r="A95" s="10" t="str">
        <v>EMP092</v>
      </c>
      <c r="B95" s="4" t="str">
        <v>Karthik Babu</v>
      </c>
      <c r="C95" s="4" t="str">
        <f>_xlfn.XLOOKUP(A95,'EMPLOYEE MASTER DATA'!A95:A394,'EMPLOYEE MASTER DATA'!D95:D394)</f>
        <v>Back End</v>
      </c>
      <c r="D95" s="4" t="str">
        <f>_xlfn.XLOOKUP(A95,'EMPLOYEE MASTER DATA'!A95:A394,'EMPLOYEE MASTER DATA'!E95:E394)</f>
        <v>Data Entry Executive</v>
      </c>
      <c r="E95" s="26">
        <f>_xlfn.XLOOKUP(A95,'EMPLOYEE MASTER DATA'!A95:A394,'EMPLOYEE MASTER DATA'!F95:F394)</f>
        <v>21500</v>
      </c>
      <c r="F95" s="26">
        <f t="shared" si="9"/>
        <v>895.83333333333337</v>
      </c>
      <c r="G95" s="4">
        <v>21</v>
      </c>
      <c r="H95" s="4">
        <f>_xlfn.XLOOKUP(A95,'MONTHLY ATTENDANCE SUMMARY'!A94:A393,'MONTHLY ATTENDANCE SUMMARY'!F94:F393)</f>
        <v>2</v>
      </c>
      <c r="I95" s="4">
        <f t="shared" si="10"/>
        <v>1</v>
      </c>
      <c r="J95" s="4">
        <f t="shared" si="11"/>
        <v>1</v>
      </c>
      <c r="K95" s="26">
        <f t="shared" si="12"/>
        <v>20156.25</v>
      </c>
      <c r="L95" s="26">
        <f t="shared" si="8"/>
        <v>2580</v>
      </c>
      <c r="M95" s="26">
        <f t="shared" si="13"/>
        <v>0</v>
      </c>
      <c r="N95" s="26">
        <f t="shared" si="14"/>
        <v>151.171875</v>
      </c>
      <c r="O95" s="27">
        <f t="shared" si="15"/>
        <v>17425.078125</v>
      </c>
    </row>
    <row r="96" spans="1:15" x14ac:dyDescent="0.3">
      <c r="A96" s="10" t="str">
        <v>EMP093</v>
      </c>
      <c r="B96" s="4" t="str">
        <v>Suresh Raj</v>
      </c>
      <c r="C96" s="4" t="str">
        <f>_xlfn.XLOOKUP(A96,'EMPLOYEE MASTER DATA'!A96:A395,'EMPLOYEE MASTER DATA'!D96:D395)</f>
        <v>Accounts</v>
      </c>
      <c r="D96" s="4" t="str">
        <f>_xlfn.XLOOKUP(A96,'EMPLOYEE MASTER DATA'!A96:A395,'EMPLOYEE MASTER DATA'!E96:E395)</f>
        <v>Accounts Manager</v>
      </c>
      <c r="E96" s="26">
        <f>_xlfn.XLOOKUP(A96,'EMPLOYEE MASTER DATA'!A96:A395,'EMPLOYEE MASTER DATA'!F96:F395)</f>
        <v>90000</v>
      </c>
      <c r="F96" s="26">
        <f t="shared" si="9"/>
        <v>3750</v>
      </c>
      <c r="G96" s="4">
        <v>22</v>
      </c>
      <c r="H96" s="4">
        <f>_xlfn.XLOOKUP(A96,'MONTHLY ATTENDANCE SUMMARY'!A95:A394,'MONTHLY ATTENDANCE SUMMARY'!F95:F394)</f>
        <v>2</v>
      </c>
      <c r="I96" s="4">
        <f t="shared" si="10"/>
        <v>1</v>
      </c>
      <c r="J96" s="4">
        <f t="shared" si="11"/>
        <v>1</v>
      </c>
      <c r="K96" s="26">
        <f t="shared" si="12"/>
        <v>88125</v>
      </c>
      <c r="L96" s="26">
        <f t="shared" si="8"/>
        <v>10800</v>
      </c>
      <c r="M96" s="26">
        <f t="shared" si="13"/>
        <v>200</v>
      </c>
      <c r="N96" s="26">
        <f t="shared" si="14"/>
        <v>0</v>
      </c>
      <c r="O96" s="27">
        <f t="shared" si="15"/>
        <v>77125</v>
      </c>
    </row>
    <row r="97" spans="1:15" x14ac:dyDescent="0.3">
      <c r="A97" s="10" t="str">
        <v>EMP094</v>
      </c>
      <c r="B97" s="4" t="str">
        <v>Saravanan Kumar</v>
      </c>
      <c r="C97" s="4" t="str">
        <f>_xlfn.XLOOKUP(A97,'EMPLOYEE MASTER DATA'!A97:A396,'EMPLOYEE MASTER DATA'!D97:D396)</f>
        <v>Sales</v>
      </c>
      <c r="D97" s="4" t="str">
        <f>_xlfn.XLOOKUP(A97,'EMPLOYEE MASTER DATA'!A97:A396,'EMPLOYEE MASTER DATA'!E97:E396)</f>
        <v>Sales Executive</v>
      </c>
      <c r="E97" s="26">
        <f>_xlfn.XLOOKUP(A97,'EMPLOYEE MASTER DATA'!A97:A396,'EMPLOYEE MASTER DATA'!F97:F396)</f>
        <v>27500</v>
      </c>
      <c r="F97" s="26">
        <f t="shared" si="9"/>
        <v>1145.8333333333333</v>
      </c>
      <c r="G97" s="4">
        <v>18</v>
      </c>
      <c r="H97" s="4">
        <f>_xlfn.XLOOKUP(A97,'MONTHLY ATTENDANCE SUMMARY'!A96:A395,'MONTHLY ATTENDANCE SUMMARY'!F96:F395)</f>
        <v>2</v>
      </c>
      <c r="I97" s="4">
        <f t="shared" si="10"/>
        <v>1</v>
      </c>
      <c r="J97" s="4">
        <f t="shared" si="11"/>
        <v>1</v>
      </c>
      <c r="K97" s="26">
        <f t="shared" si="12"/>
        <v>22343.75</v>
      </c>
      <c r="L97" s="26">
        <f t="shared" si="8"/>
        <v>3300</v>
      </c>
      <c r="M97" s="26">
        <f t="shared" si="13"/>
        <v>200</v>
      </c>
      <c r="N97" s="26">
        <f t="shared" si="14"/>
        <v>0</v>
      </c>
      <c r="O97" s="27">
        <f t="shared" si="15"/>
        <v>18843.75</v>
      </c>
    </row>
    <row r="98" spans="1:15" x14ac:dyDescent="0.3">
      <c r="A98" s="10" t="str">
        <v>EMP095</v>
      </c>
      <c r="B98" s="4" t="str">
        <v>Lokesh Kumar</v>
      </c>
      <c r="C98" s="4" t="str">
        <f>_xlfn.XLOOKUP(A98,'EMPLOYEE MASTER DATA'!A98:A397,'EMPLOYEE MASTER DATA'!D98:D397)</f>
        <v>Customer Relationship</v>
      </c>
      <c r="D98" s="4" t="str">
        <f>_xlfn.XLOOKUP(A98,'EMPLOYEE MASTER DATA'!A98:A397,'EMPLOYEE MASTER DATA'!E98:E397)</f>
        <v>Customer Success Executive</v>
      </c>
      <c r="E98" s="26">
        <f>_xlfn.XLOOKUP(A98,'EMPLOYEE MASTER DATA'!A98:A397,'EMPLOYEE MASTER DATA'!F98:F397)</f>
        <v>35500</v>
      </c>
      <c r="F98" s="26">
        <f t="shared" si="9"/>
        <v>1479.1666666666667</v>
      </c>
      <c r="G98" s="4">
        <v>19</v>
      </c>
      <c r="H98" s="4">
        <f>_xlfn.XLOOKUP(A98,'MONTHLY ATTENDANCE SUMMARY'!A97:A396,'MONTHLY ATTENDANCE SUMMARY'!F97:F396)</f>
        <v>1</v>
      </c>
      <c r="I98" s="4">
        <f t="shared" si="10"/>
        <v>1</v>
      </c>
      <c r="J98" s="4">
        <f t="shared" si="11"/>
        <v>0</v>
      </c>
      <c r="K98" s="26">
        <f t="shared" si="12"/>
        <v>29583.333333333336</v>
      </c>
      <c r="L98" s="26">
        <f t="shared" si="8"/>
        <v>4260</v>
      </c>
      <c r="M98" s="26">
        <f t="shared" si="13"/>
        <v>200</v>
      </c>
      <c r="N98" s="26">
        <f t="shared" si="14"/>
        <v>0</v>
      </c>
      <c r="O98" s="27">
        <f t="shared" si="15"/>
        <v>25123.333333333336</v>
      </c>
    </row>
    <row r="99" spans="1:15" x14ac:dyDescent="0.3">
      <c r="A99" s="10" t="str">
        <v>EMP096</v>
      </c>
      <c r="B99" s="4" t="str">
        <v>Vijay K</v>
      </c>
      <c r="C99" s="4" t="str">
        <f>_xlfn.XLOOKUP(A99,'EMPLOYEE MASTER DATA'!A99:A398,'EMPLOYEE MASTER DATA'!D99:D398)</f>
        <v>IT</v>
      </c>
      <c r="D99" s="4" t="str">
        <f>_xlfn.XLOOKUP(A99,'EMPLOYEE MASTER DATA'!A99:A398,'EMPLOYEE MASTER DATA'!E99:E398)</f>
        <v>IT Support Engineer</v>
      </c>
      <c r="E99" s="26">
        <f>_xlfn.XLOOKUP(A99,'EMPLOYEE MASTER DATA'!A99:A398,'EMPLOYEE MASTER DATA'!F99:F398)</f>
        <v>32500</v>
      </c>
      <c r="F99" s="26">
        <f t="shared" si="9"/>
        <v>1354.1666666666667</v>
      </c>
      <c r="G99" s="4">
        <v>21</v>
      </c>
      <c r="H99" s="4">
        <f>_xlfn.XLOOKUP(A99,'MONTHLY ATTENDANCE SUMMARY'!A98:A397,'MONTHLY ATTENDANCE SUMMARY'!F98:F397)</f>
        <v>1</v>
      </c>
      <c r="I99" s="4">
        <f t="shared" si="10"/>
        <v>1</v>
      </c>
      <c r="J99" s="4">
        <f t="shared" si="11"/>
        <v>0</v>
      </c>
      <c r="K99" s="26">
        <f t="shared" si="12"/>
        <v>29791.666666666668</v>
      </c>
      <c r="L99" s="26">
        <f t="shared" si="8"/>
        <v>3900</v>
      </c>
      <c r="M99" s="26">
        <f t="shared" si="13"/>
        <v>200</v>
      </c>
      <c r="N99" s="26">
        <f t="shared" si="14"/>
        <v>0</v>
      </c>
      <c r="O99" s="27">
        <f t="shared" si="15"/>
        <v>25691.666666666668</v>
      </c>
    </row>
    <row r="100" spans="1:15" x14ac:dyDescent="0.3">
      <c r="A100" s="10" t="str">
        <v>EMP097</v>
      </c>
      <c r="B100" s="4" t="str">
        <v>Sanjay Kannan</v>
      </c>
      <c r="C100" s="4" t="str">
        <f>_xlfn.XLOOKUP(A100,'EMPLOYEE MASTER DATA'!A100:A399,'EMPLOYEE MASTER DATA'!D100:D399)</f>
        <v>Admin</v>
      </c>
      <c r="D100" s="4" t="str">
        <f>_xlfn.XLOOKUP(A100,'EMPLOYEE MASTER DATA'!A100:A399,'EMPLOYEE MASTER DATA'!E100:E399)</f>
        <v>Office Coordinator</v>
      </c>
      <c r="E100" s="26">
        <f>_xlfn.XLOOKUP(A100,'EMPLOYEE MASTER DATA'!A100:A399,'EMPLOYEE MASTER DATA'!F100:F399)</f>
        <v>24000</v>
      </c>
      <c r="F100" s="26">
        <f t="shared" si="9"/>
        <v>1000</v>
      </c>
      <c r="G100" s="4">
        <v>20</v>
      </c>
      <c r="H100" s="4">
        <f>_xlfn.XLOOKUP(A100,'MONTHLY ATTENDANCE SUMMARY'!A99:A398,'MONTHLY ATTENDANCE SUMMARY'!F99:F398)</f>
        <v>2</v>
      </c>
      <c r="I100" s="4">
        <f t="shared" si="10"/>
        <v>1</v>
      </c>
      <c r="J100" s="4">
        <f t="shared" si="11"/>
        <v>1</v>
      </c>
      <c r="K100" s="26">
        <f t="shared" si="12"/>
        <v>21500</v>
      </c>
      <c r="L100" s="26">
        <f t="shared" si="8"/>
        <v>2880</v>
      </c>
      <c r="M100" s="26">
        <f t="shared" si="13"/>
        <v>200</v>
      </c>
      <c r="N100" s="26">
        <f t="shared" si="14"/>
        <v>0</v>
      </c>
      <c r="O100" s="27">
        <f t="shared" si="15"/>
        <v>18420</v>
      </c>
    </row>
    <row r="101" spans="1:15" x14ac:dyDescent="0.3">
      <c r="A101" s="10" t="str">
        <v>EMP098</v>
      </c>
      <c r="B101" s="4" t="str">
        <v>Yogesh Kannan</v>
      </c>
      <c r="C101" s="4" t="str">
        <f>_xlfn.XLOOKUP(A101,'EMPLOYEE MASTER DATA'!A101:A400,'EMPLOYEE MASTER DATA'!D101:D400)</f>
        <v>Customer Relationship</v>
      </c>
      <c r="D101" s="4" t="str">
        <f>_xlfn.XLOOKUP(A101,'EMPLOYEE MASTER DATA'!A101:A400,'EMPLOYEE MASTER DATA'!E101:E400)</f>
        <v>Customer Success Executive</v>
      </c>
      <c r="E101" s="26">
        <f>_xlfn.XLOOKUP(A101,'EMPLOYEE MASTER DATA'!A101:A400,'EMPLOYEE MASTER DATA'!F101:F400)</f>
        <v>39000</v>
      </c>
      <c r="F101" s="26">
        <f t="shared" si="9"/>
        <v>1625</v>
      </c>
      <c r="G101" s="4">
        <v>20</v>
      </c>
      <c r="H101" s="4">
        <f>_xlfn.XLOOKUP(A101,'MONTHLY ATTENDANCE SUMMARY'!A100:A399,'MONTHLY ATTENDANCE SUMMARY'!F100:F399)</f>
        <v>1</v>
      </c>
      <c r="I101" s="4">
        <f t="shared" si="10"/>
        <v>1</v>
      </c>
      <c r="J101" s="4">
        <f t="shared" si="11"/>
        <v>0</v>
      </c>
      <c r="K101" s="26">
        <f t="shared" si="12"/>
        <v>34125</v>
      </c>
      <c r="L101" s="26">
        <f t="shared" si="8"/>
        <v>4680</v>
      </c>
      <c r="M101" s="26">
        <f t="shared" si="13"/>
        <v>200</v>
      </c>
      <c r="N101" s="26">
        <f t="shared" si="14"/>
        <v>0</v>
      </c>
      <c r="O101" s="27">
        <f t="shared" si="15"/>
        <v>29245</v>
      </c>
    </row>
    <row r="102" spans="1:15" x14ac:dyDescent="0.3">
      <c r="A102" s="10" t="str">
        <v>EMP099</v>
      </c>
      <c r="B102" s="4" t="str">
        <v>Yuvaraj N</v>
      </c>
      <c r="C102" s="4" t="str">
        <f>_xlfn.XLOOKUP(A102,'EMPLOYEE MASTER DATA'!A102:A401,'EMPLOYEE MASTER DATA'!D102:D401)</f>
        <v>Accounts</v>
      </c>
      <c r="D102" s="4" t="str">
        <f>_xlfn.XLOOKUP(A102,'EMPLOYEE MASTER DATA'!A102:A401,'EMPLOYEE MASTER DATA'!E102:E401)</f>
        <v>Accounts Manager</v>
      </c>
      <c r="E102" s="26">
        <f>_xlfn.XLOOKUP(A102,'EMPLOYEE MASTER DATA'!A102:A401,'EMPLOYEE MASTER DATA'!F102:F401)</f>
        <v>63500</v>
      </c>
      <c r="F102" s="26">
        <f t="shared" si="9"/>
        <v>2645.8333333333335</v>
      </c>
      <c r="G102" s="4">
        <v>12</v>
      </c>
      <c r="H102" s="4">
        <f>_xlfn.XLOOKUP(A102,'MONTHLY ATTENDANCE SUMMARY'!A101:A400,'MONTHLY ATTENDANCE SUMMARY'!F101:F400)</f>
        <v>2</v>
      </c>
      <c r="I102" s="4">
        <f t="shared" si="10"/>
        <v>1</v>
      </c>
      <c r="J102" s="4">
        <f t="shared" si="11"/>
        <v>1</v>
      </c>
      <c r="K102" s="26">
        <f t="shared" si="12"/>
        <v>35718.75</v>
      </c>
      <c r="L102" s="26">
        <f t="shared" si="8"/>
        <v>7620</v>
      </c>
      <c r="M102" s="26">
        <f t="shared" si="13"/>
        <v>200</v>
      </c>
      <c r="N102" s="26">
        <f t="shared" si="14"/>
        <v>0</v>
      </c>
      <c r="O102" s="27">
        <f t="shared" si="15"/>
        <v>27898.75</v>
      </c>
    </row>
    <row r="103" spans="1:15" x14ac:dyDescent="0.3">
      <c r="A103" s="10" t="str">
        <v>EMP100</v>
      </c>
      <c r="B103" s="4" t="str">
        <v>Deepak K</v>
      </c>
      <c r="C103" s="4" t="str">
        <f>_xlfn.XLOOKUP(A103,'EMPLOYEE MASTER DATA'!A103:A402,'EMPLOYEE MASTER DATA'!D103:D402)</f>
        <v>Business Development</v>
      </c>
      <c r="D103" s="4" t="str">
        <f>_xlfn.XLOOKUP(A103,'EMPLOYEE MASTER DATA'!A103:A402,'EMPLOYEE MASTER DATA'!E103:E402)</f>
        <v>Growth Executive</v>
      </c>
      <c r="E103" s="26">
        <f>_xlfn.XLOOKUP(A103,'EMPLOYEE MASTER DATA'!A103:A402,'EMPLOYEE MASTER DATA'!F103:F402)</f>
        <v>44500</v>
      </c>
      <c r="F103" s="26">
        <f t="shared" si="9"/>
        <v>1854.1666666666667</v>
      </c>
      <c r="G103" s="4">
        <v>20</v>
      </c>
      <c r="H103" s="4">
        <f>_xlfn.XLOOKUP(A103,'MONTHLY ATTENDANCE SUMMARY'!A102:A401,'MONTHLY ATTENDANCE SUMMARY'!F102:F401)</f>
        <v>1</v>
      </c>
      <c r="I103" s="4">
        <f t="shared" si="10"/>
        <v>1</v>
      </c>
      <c r="J103" s="4">
        <f t="shared" si="11"/>
        <v>0</v>
      </c>
      <c r="K103" s="26">
        <f t="shared" si="12"/>
        <v>38937.5</v>
      </c>
      <c r="L103" s="26">
        <f t="shared" si="8"/>
        <v>5340</v>
      </c>
      <c r="M103" s="26">
        <f t="shared" si="13"/>
        <v>200</v>
      </c>
      <c r="N103" s="26">
        <f t="shared" si="14"/>
        <v>0</v>
      </c>
      <c r="O103" s="27">
        <f t="shared" si="15"/>
        <v>33397.5</v>
      </c>
    </row>
    <row r="104" spans="1:15" x14ac:dyDescent="0.3">
      <c r="A104" s="10" t="str">
        <v>EMP101</v>
      </c>
      <c r="B104" s="4" t="str">
        <v>Rahul Babu</v>
      </c>
      <c r="C104" s="4" t="str">
        <f>_xlfn.XLOOKUP(A104,'EMPLOYEE MASTER DATA'!A104:A403,'EMPLOYEE MASTER DATA'!D104:D403)</f>
        <v>Business Development</v>
      </c>
      <c r="D104" s="4" t="str">
        <f>_xlfn.XLOOKUP(A104,'EMPLOYEE MASTER DATA'!A104:A403,'EMPLOYEE MASTER DATA'!E104:E403)</f>
        <v>Growth Executive</v>
      </c>
      <c r="E104" s="26">
        <f>_xlfn.XLOOKUP(A104,'EMPLOYEE MASTER DATA'!A104:A403,'EMPLOYEE MASTER DATA'!F104:F403)</f>
        <v>30000</v>
      </c>
      <c r="F104" s="26">
        <f t="shared" si="9"/>
        <v>1250</v>
      </c>
      <c r="G104" s="4">
        <v>21</v>
      </c>
      <c r="H104" s="4">
        <f>_xlfn.XLOOKUP(A104,'MONTHLY ATTENDANCE SUMMARY'!A103:A402,'MONTHLY ATTENDANCE SUMMARY'!F103:F402)</f>
        <v>1</v>
      </c>
      <c r="I104" s="4">
        <f t="shared" si="10"/>
        <v>1</v>
      </c>
      <c r="J104" s="4">
        <f t="shared" si="11"/>
        <v>0</v>
      </c>
      <c r="K104" s="26">
        <f t="shared" si="12"/>
        <v>27500</v>
      </c>
      <c r="L104" s="26">
        <f t="shared" si="8"/>
        <v>3600</v>
      </c>
      <c r="M104" s="26">
        <f t="shared" si="13"/>
        <v>200</v>
      </c>
      <c r="N104" s="26">
        <f t="shared" si="14"/>
        <v>0</v>
      </c>
      <c r="O104" s="27">
        <f t="shared" si="15"/>
        <v>23700</v>
      </c>
    </row>
    <row r="105" spans="1:15" x14ac:dyDescent="0.3">
      <c r="A105" s="10" t="str">
        <v>EMP102</v>
      </c>
      <c r="B105" s="4" t="str">
        <v>Deepak N</v>
      </c>
      <c r="C105" s="4" t="str">
        <f>_xlfn.XLOOKUP(A105,'EMPLOYEE MASTER DATA'!A105:A404,'EMPLOYEE MASTER DATA'!D105:D404)</f>
        <v>Customer Relationship</v>
      </c>
      <c r="D105" s="4" t="str">
        <f>_xlfn.XLOOKUP(A105,'EMPLOYEE MASTER DATA'!A105:A404,'EMPLOYEE MASTER DATA'!E105:E404)</f>
        <v>Customer Success Executive</v>
      </c>
      <c r="E105" s="26">
        <f>_xlfn.XLOOKUP(A105,'EMPLOYEE MASTER DATA'!A105:A404,'EMPLOYEE MASTER DATA'!F105:F404)</f>
        <v>30000</v>
      </c>
      <c r="F105" s="26">
        <f t="shared" si="9"/>
        <v>1250</v>
      </c>
      <c r="G105" s="4">
        <v>19</v>
      </c>
      <c r="H105" s="4">
        <f>_xlfn.XLOOKUP(A105,'MONTHLY ATTENDANCE SUMMARY'!A104:A403,'MONTHLY ATTENDANCE SUMMARY'!F104:F403)</f>
        <v>1</v>
      </c>
      <c r="I105" s="4">
        <f t="shared" si="10"/>
        <v>1</v>
      </c>
      <c r="J105" s="4">
        <f t="shared" si="11"/>
        <v>0</v>
      </c>
      <c r="K105" s="26">
        <f t="shared" si="12"/>
        <v>25000</v>
      </c>
      <c r="L105" s="26">
        <f t="shared" si="8"/>
        <v>3600</v>
      </c>
      <c r="M105" s="26">
        <f t="shared" si="13"/>
        <v>200</v>
      </c>
      <c r="N105" s="26">
        <f t="shared" si="14"/>
        <v>0</v>
      </c>
      <c r="O105" s="27">
        <f t="shared" si="15"/>
        <v>21200</v>
      </c>
    </row>
    <row r="106" spans="1:15" x14ac:dyDescent="0.3">
      <c r="A106" s="10" t="str">
        <v>EMP103</v>
      </c>
      <c r="B106" s="4" t="str">
        <v>Kishore G</v>
      </c>
      <c r="C106" s="4" t="str">
        <f>_xlfn.XLOOKUP(A106,'EMPLOYEE MASTER DATA'!A106:A405,'EMPLOYEE MASTER DATA'!D106:D405)</f>
        <v>Procurement</v>
      </c>
      <c r="D106" s="4" t="str">
        <f>_xlfn.XLOOKUP(A106,'EMPLOYEE MASTER DATA'!A106:A405,'EMPLOYEE MASTER DATA'!E106:E405)</f>
        <v>Procurement Manager</v>
      </c>
      <c r="E106" s="26">
        <f>_xlfn.XLOOKUP(A106,'EMPLOYEE MASTER DATA'!A106:A405,'EMPLOYEE MASTER DATA'!F106:F405)</f>
        <v>71500</v>
      </c>
      <c r="F106" s="26">
        <f t="shared" si="9"/>
        <v>2979.1666666666665</v>
      </c>
      <c r="G106" s="4">
        <v>20</v>
      </c>
      <c r="H106" s="4">
        <f>_xlfn.XLOOKUP(A106,'MONTHLY ATTENDANCE SUMMARY'!A105:A404,'MONTHLY ATTENDANCE SUMMARY'!F105:F404)</f>
        <v>1</v>
      </c>
      <c r="I106" s="4">
        <f t="shared" si="10"/>
        <v>1</v>
      </c>
      <c r="J106" s="4">
        <f t="shared" si="11"/>
        <v>0</v>
      </c>
      <c r="K106" s="26">
        <f t="shared" si="12"/>
        <v>62562.5</v>
      </c>
      <c r="L106" s="26">
        <f t="shared" si="8"/>
        <v>8580</v>
      </c>
      <c r="M106" s="26">
        <f t="shared" si="13"/>
        <v>200</v>
      </c>
      <c r="N106" s="26">
        <f t="shared" si="14"/>
        <v>0</v>
      </c>
      <c r="O106" s="27">
        <f t="shared" si="15"/>
        <v>53782.5</v>
      </c>
    </row>
    <row r="107" spans="1:15" x14ac:dyDescent="0.3">
      <c r="A107" s="10" t="str">
        <v>EMP104</v>
      </c>
      <c r="B107" s="4" t="str">
        <v>Deepak P</v>
      </c>
      <c r="C107" s="4" t="str">
        <f>_xlfn.XLOOKUP(A107,'EMPLOYEE MASTER DATA'!A107:A406,'EMPLOYEE MASTER DATA'!D107:D406)</f>
        <v>Sales</v>
      </c>
      <c r="D107" s="4" t="str">
        <f>_xlfn.XLOOKUP(A107,'EMPLOYEE MASTER DATA'!A107:A406,'EMPLOYEE MASTER DATA'!E107:E406)</f>
        <v>Sales Manager</v>
      </c>
      <c r="E107" s="26">
        <f>_xlfn.XLOOKUP(A107,'EMPLOYEE MASTER DATA'!A107:A406,'EMPLOYEE MASTER DATA'!F107:F406)</f>
        <v>53500</v>
      </c>
      <c r="F107" s="26">
        <f t="shared" si="9"/>
        <v>2229.1666666666665</v>
      </c>
      <c r="G107" s="4">
        <v>20</v>
      </c>
      <c r="H107" s="4">
        <f>_xlfn.XLOOKUP(A107,'MONTHLY ATTENDANCE SUMMARY'!A106:A405,'MONTHLY ATTENDANCE SUMMARY'!F106:F405)</f>
        <v>1</v>
      </c>
      <c r="I107" s="4">
        <f t="shared" si="10"/>
        <v>1</v>
      </c>
      <c r="J107" s="4">
        <f t="shared" si="11"/>
        <v>0</v>
      </c>
      <c r="K107" s="26">
        <f t="shared" si="12"/>
        <v>46812.5</v>
      </c>
      <c r="L107" s="26">
        <f t="shared" si="8"/>
        <v>6420</v>
      </c>
      <c r="M107" s="26">
        <f t="shared" si="13"/>
        <v>200</v>
      </c>
      <c r="N107" s="26">
        <f t="shared" si="14"/>
        <v>0</v>
      </c>
      <c r="O107" s="27">
        <f t="shared" si="15"/>
        <v>40192.5</v>
      </c>
    </row>
    <row r="108" spans="1:15" x14ac:dyDescent="0.3">
      <c r="A108" s="10" t="str">
        <v>EMP105</v>
      </c>
      <c r="B108" s="4" t="str">
        <v>Nithin V</v>
      </c>
      <c r="C108" s="4" t="str">
        <f>_xlfn.XLOOKUP(A108,'EMPLOYEE MASTER DATA'!A108:A407,'EMPLOYEE MASTER DATA'!D108:D407)</f>
        <v>Accounts</v>
      </c>
      <c r="D108" s="4" t="str">
        <f>_xlfn.XLOOKUP(A108,'EMPLOYEE MASTER DATA'!A108:A407,'EMPLOYEE MASTER DATA'!E108:E407)</f>
        <v>Senior Accountant</v>
      </c>
      <c r="E108" s="26">
        <f>_xlfn.XLOOKUP(A108,'EMPLOYEE MASTER DATA'!A108:A407,'EMPLOYEE MASTER DATA'!F108:F407)</f>
        <v>53500</v>
      </c>
      <c r="F108" s="26">
        <f t="shared" si="9"/>
        <v>2229.1666666666665</v>
      </c>
      <c r="G108" s="4">
        <v>18</v>
      </c>
      <c r="H108" s="4">
        <f>_xlfn.XLOOKUP(A108,'MONTHLY ATTENDANCE SUMMARY'!A107:A406,'MONTHLY ATTENDANCE SUMMARY'!F107:F406)</f>
        <v>2</v>
      </c>
      <c r="I108" s="4">
        <f t="shared" si="10"/>
        <v>1</v>
      </c>
      <c r="J108" s="4">
        <f t="shared" si="11"/>
        <v>1</v>
      </c>
      <c r="K108" s="26">
        <f t="shared" si="12"/>
        <v>43468.75</v>
      </c>
      <c r="L108" s="26">
        <f t="shared" si="8"/>
        <v>6420</v>
      </c>
      <c r="M108" s="26">
        <f t="shared" si="13"/>
        <v>200</v>
      </c>
      <c r="N108" s="26">
        <f t="shared" si="14"/>
        <v>0</v>
      </c>
      <c r="O108" s="27">
        <f t="shared" si="15"/>
        <v>36848.75</v>
      </c>
    </row>
    <row r="109" spans="1:15" x14ac:dyDescent="0.3">
      <c r="A109" s="10" t="str">
        <v>EMP106</v>
      </c>
      <c r="B109" s="4" t="str">
        <v>Nithin Raj</v>
      </c>
      <c r="C109" s="4" t="str">
        <f>_xlfn.XLOOKUP(A109,'EMPLOYEE MASTER DATA'!A109:A408,'EMPLOYEE MASTER DATA'!D109:D408)</f>
        <v>IT</v>
      </c>
      <c r="D109" s="4" t="str">
        <f>_xlfn.XLOOKUP(A109,'EMPLOYEE MASTER DATA'!A109:A408,'EMPLOYEE MASTER DATA'!E109:E408)</f>
        <v>Network Engineer</v>
      </c>
      <c r="E109" s="26">
        <f>_xlfn.XLOOKUP(A109,'EMPLOYEE MASTER DATA'!A109:A408,'EMPLOYEE MASTER DATA'!F109:F408)</f>
        <v>36500</v>
      </c>
      <c r="F109" s="26">
        <f t="shared" si="9"/>
        <v>1520.8333333333333</v>
      </c>
      <c r="G109" s="4">
        <v>20</v>
      </c>
      <c r="H109" s="4">
        <f>_xlfn.XLOOKUP(A109,'MONTHLY ATTENDANCE SUMMARY'!A108:A407,'MONTHLY ATTENDANCE SUMMARY'!F108:F407)</f>
        <v>2</v>
      </c>
      <c r="I109" s="4">
        <f t="shared" si="10"/>
        <v>1</v>
      </c>
      <c r="J109" s="4">
        <f t="shared" si="11"/>
        <v>1</v>
      </c>
      <c r="K109" s="26">
        <f t="shared" si="12"/>
        <v>32697.916666666664</v>
      </c>
      <c r="L109" s="26">
        <f t="shared" si="8"/>
        <v>4380</v>
      </c>
      <c r="M109" s="26">
        <f t="shared" si="13"/>
        <v>200</v>
      </c>
      <c r="N109" s="26">
        <f t="shared" si="14"/>
        <v>0</v>
      </c>
      <c r="O109" s="27">
        <f t="shared" si="15"/>
        <v>28117.916666666664</v>
      </c>
    </row>
    <row r="110" spans="1:15" x14ac:dyDescent="0.3">
      <c r="A110" s="10" t="str">
        <v>EMP107</v>
      </c>
      <c r="B110" s="4" t="str">
        <v>Dinesh Narayanan</v>
      </c>
      <c r="C110" s="4" t="str">
        <f>_xlfn.XLOOKUP(A110,'EMPLOYEE MASTER DATA'!A110:A409,'EMPLOYEE MASTER DATA'!D110:D409)</f>
        <v>Sales</v>
      </c>
      <c r="D110" s="4" t="str">
        <f>_xlfn.XLOOKUP(A110,'EMPLOYEE MASTER DATA'!A110:A409,'EMPLOYEE MASTER DATA'!E110:E409)</f>
        <v>Sales Manager</v>
      </c>
      <c r="E110" s="26">
        <f>_xlfn.XLOOKUP(A110,'EMPLOYEE MASTER DATA'!A110:A409,'EMPLOYEE MASTER DATA'!F110:F409)</f>
        <v>59000</v>
      </c>
      <c r="F110" s="26">
        <f t="shared" si="9"/>
        <v>2458.3333333333335</v>
      </c>
      <c r="G110" s="4">
        <v>21</v>
      </c>
      <c r="H110" s="4">
        <f>_xlfn.XLOOKUP(A110,'MONTHLY ATTENDANCE SUMMARY'!A109:A408,'MONTHLY ATTENDANCE SUMMARY'!F109:F408)</f>
        <v>2</v>
      </c>
      <c r="I110" s="4">
        <f t="shared" si="10"/>
        <v>1</v>
      </c>
      <c r="J110" s="4">
        <f t="shared" si="11"/>
        <v>1</v>
      </c>
      <c r="K110" s="26">
        <f t="shared" si="12"/>
        <v>55312.5</v>
      </c>
      <c r="L110" s="26">
        <f t="shared" si="8"/>
        <v>7080</v>
      </c>
      <c r="M110" s="26">
        <f t="shared" si="13"/>
        <v>200</v>
      </c>
      <c r="N110" s="26">
        <f t="shared" si="14"/>
        <v>0</v>
      </c>
      <c r="O110" s="27">
        <f t="shared" si="15"/>
        <v>48032.5</v>
      </c>
    </row>
    <row r="111" spans="1:15" x14ac:dyDescent="0.3">
      <c r="A111" s="10" t="str">
        <v>EMP108</v>
      </c>
      <c r="B111" s="4" t="str">
        <v>Sanjay Raj</v>
      </c>
      <c r="C111" s="4" t="str">
        <f>_xlfn.XLOOKUP(A111,'EMPLOYEE MASTER DATA'!A111:A410,'EMPLOYEE MASTER DATA'!D111:D410)</f>
        <v>Admin</v>
      </c>
      <c r="D111" s="4" t="str">
        <f>_xlfn.XLOOKUP(A111,'EMPLOYEE MASTER DATA'!A111:A410,'EMPLOYEE MASTER DATA'!E111:E410)</f>
        <v>Office Coordinator</v>
      </c>
      <c r="E111" s="26">
        <f>_xlfn.XLOOKUP(A111,'EMPLOYEE MASTER DATA'!A111:A410,'EMPLOYEE MASTER DATA'!F111:F410)</f>
        <v>28000</v>
      </c>
      <c r="F111" s="26">
        <f t="shared" si="9"/>
        <v>1166.6666666666667</v>
      </c>
      <c r="G111" s="4">
        <v>21</v>
      </c>
      <c r="H111" s="4">
        <f>_xlfn.XLOOKUP(A111,'MONTHLY ATTENDANCE SUMMARY'!A110:A409,'MONTHLY ATTENDANCE SUMMARY'!F110:F409)</f>
        <v>1</v>
      </c>
      <c r="I111" s="4">
        <f t="shared" si="10"/>
        <v>1</v>
      </c>
      <c r="J111" s="4">
        <f t="shared" si="11"/>
        <v>0</v>
      </c>
      <c r="K111" s="26">
        <f t="shared" si="12"/>
        <v>25666.666666666668</v>
      </c>
      <c r="L111" s="26">
        <f t="shared" si="8"/>
        <v>3360</v>
      </c>
      <c r="M111" s="26">
        <f t="shared" si="13"/>
        <v>200</v>
      </c>
      <c r="N111" s="26">
        <f t="shared" si="14"/>
        <v>0</v>
      </c>
      <c r="O111" s="27">
        <f t="shared" si="15"/>
        <v>22106.666666666668</v>
      </c>
    </row>
    <row r="112" spans="1:15" x14ac:dyDescent="0.3">
      <c r="A112" s="10" t="str">
        <v>EMP109</v>
      </c>
      <c r="B112" s="4" t="str">
        <v>Aravind Narayanan</v>
      </c>
      <c r="C112" s="4" t="str">
        <f>_xlfn.XLOOKUP(A112,'EMPLOYEE MASTER DATA'!A112:A411,'EMPLOYEE MASTER DATA'!D112:D411)</f>
        <v>Production</v>
      </c>
      <c r="D112" s="4" t="str">
        <f>_xlfn.XLOOKUP(A112,'EMPLOYEE MASTER DATA'!A112:A411,'EMPLOYEE MASTER DATA'!E112:E411)</f>
        <v>Production Manager</v>
      </c>
      <c r="E112" s="26">
        <f>_xlfn.XLOOKUP(A112,'EMPLOYEE MASTER DATA'!A112:A411,'EMPLOYEE MASTER DATA'!F112:F411)</f>
        <v>76500</v>
      </c>
      <c r="F112" s="26">
        <f t="shared" si="9"/>
        <v>3187.5</v>
      </c>
      <c r="G112" s="4">
        <v>20</v>
      </c>
      <c r="H112" s="4">
        <f>_xlfn.XLOOKUP(A112,'MONTHLY ATTENDANCE SUMMARY'!A111:A410,'MONTHLY ATTENDANCE SUMMARY'!F111:F410)</f>
        <v>2</v>
      </c>
      <c r="I112" s="4">
        <f t="shared" si="10"/>
        <v>1</v>
      </c>
      <c r="J112" s="4">
        <f t="shared" si="11"/>
        <v>1</v>
      </c>
      <c r="K112" s="26">
        <f t="shared" si="12"/>
        <v>68531.25</v>
      </c>
      <c r="L112" s="26">
        <f t="shared" si="8"/>
        <v>9180</v>
      </c>
      <c r="M112" s="26">
        <f t="shared" si="13"/>
        <v>200</v>
      </c>
      <c r="N112" s="26">
        <f t="shared" si="14"/>
        <v>0</v>
      </c>
      <c r="O112" s="27">
        <f t="shared" si="15"/>
        <v>59151.25</v>
      </c>
    </row>
    <row r="113" spans="1:15" x14ac:dyDescent="0.3">
      <c r="A113" s="10" t="str">
        <v>EMP110</v>
      </c>
      <c r="B113" s="4" t="str">
        <v>Vijay P</v>
      </c>
      <c r="C113" s="4" t="str">
        <f>_xlfn.XLOOKUP(A113,'EMPLOYEE MASTER DATA'!A113:A412,'EMPLOYEE MASTER DATA'!D113:D412)</f>
        <v>Production</v>
      </c>
      <c r="D113" s="4" t="str">
        <f>_xlfn.XLOOKUP(A113,'EMPLOYEE MASTER DATA'!A113:A412,'EMPLOYEE MASTER DATA'!E113:E412)</f>
        <v>Production Manager</v>
      </c>
      <c r="E113" s="26">
        <f>_xlfn.XLOOKUP(A113,'EMPLOYEE MASTER DATA'!A113:A412,'EMPLOYEE MASTER DATA'!F113:F412)</f>
        <v>61500</v>
      </c>
      <c r="F113" s="26">
        <f t="shared" si="9"/>
        <v>2562.5</v>
      </c>
      <c r="G113" s="4">
        <v>19</v>
      </c>
      <c r="H113" s="4">
        <f>_xlfn.XLOOKUP(A113,'MONTHLY ATTENDANCE SUMMARY'!A112:A411,'MONTHLY ATTENDANCE SUMMARY'!F112:F411)</f>
        <v>2</v>
      </c>
      <c r="I113" s="4">
        <f t="shared" si="10"/>
        <v>1</v>
      </c>
      <c r="J113" s="4">
        <f t="shared" si="11"/>
        <v>1</v>
      </c>
      <c r="K113" s="26">
        <f t="shared" si="12"/>
        <v>52531.25</v>
      </c>
      <c r="L113" s="26">
        <f t="shared" si="8"/>
        <v>7380</v>
      </c>
      <c r="M113" s="26">
        <f t="shared" si="13"/>
        <v>200</v>
      </c>
      <c r="N113" s="26">
        <f t="shared" si="14"/>
        <v>0</v>
      </c>
      <c r="O113" s="27">
        <f t="shared" si="15"/>
        <v>44951.25</v>
      </c>
    </row>
    <row r="114" spans="1:15" x14ac:dyDescent="0.3">
      <c r="A114" s="10" t="str">
        <v>EMP111</v>
      </c>
      <c r="B114" s="4" t="str">
        <v>Rahul T</v>
      </c>
      <c r="C114" s="4" t="str">
        <f>_xlfn.XLOOKUP(A114,'EMPLOYEE MASTER DATA'!A114:A413,'EMPLOYEE MASTER DATA'!D114:D413)</f>
        <v>Production</v>
      </c>
      <c r="D114" s="4" t="str">
        <f>_xlfn.XLOOKUP(A114,'EMPLOYEE MASTER DATA'!A114:A413,'EMPLOYEE MASTER DATA'!E114:E413)</f>
        <v>Production Supervisor</v>
      </c>
      <c r="E114" s="26">
        <f>_xlfn.XLOOKUP(A114,'EMPLOYEE MASTER DATA'!A114:A413,'EMPLOYEE MASTER DATA'!F114:F413)</f>
        <v>43000</v>
      </c>
      <c r="F114" s="26">
        <f t="shared" si="9"/>
        <v>1791.6666666666667</v>
      </c>
      <c r="G114" s="4">
        <v>19</v>
      </c>
      <c r="H114" s="4">
        <f>_xlfn.XLOOKUP(A114,'MONTHLY ATTENDANCE SUMMARY'!A113:A412,'MONTHLY ATTENDANCE SUMMARY'!F113:F412)</f>
        <v>1</v>
      </c>
      <c r="I114" s="4">
        <f t="shared" si="10"/>
        <v>1</v>
      </c>
      <c r="J114" s="4">
        <f t="shared" si="11"/>
        <v>0</v>
      </c>
      <c r="K114" s="26">
        <f t="shared" si="12"/>
        <v>35833.333333333336</v>
      </c>
      <c r="L114" s="26">
        <f t="shared" si="8"/>
        <v>5160</v>
      </c>
      <c r="M114" s="26">
        <f t="shared" si="13"/>
        <v>200</v>
      </c>
      <c r="N114" s="26">
        <f t="shared" si="14"/>
        <v>0</v>
      </c>
      <c r="O114" s="27">
        <f t="shared" si="15"/>
        <v>30473.333333333336</v>
      </c>
    </row>
    <row r="115" spans="1:15" x14ac:dyDescent="0.3">
      <c r="A115" s="10" t="str">
        <v>EMP112</v>
      </c>
      <c r="B115" s="4" t="str">
        <v>Prakash Selvam</v>
      </c>
      <c r="C115" s="4" t="str">
        <f>_xlfn.XLOOKUP(A115,'EMPLOYEE MASTER DATA'!A115:A414,'EMPLOYEE MASTER DATA'!D115:D414)</f>
        <v>Admin</v>
      </c>
      <c r="D115" s="4" t="str">
        <f>_xlfn.XLOOKUP(A115,'EMPLOYEE MASTER DATA'!A115:A414,'EMPLOYEE MASTER DATA'!E115:E414)</f>
        <v>Facility Executive</v>
      </c>
      <c r="E115" s="26">
        <f>_xlfn.XLOOKUP(A115,'EMPLOYEE MASTER DATA'!A115:A414,'EMPLOYEE MASTER DATA'!F115:F414)</f>
        <v>30500</v>
      </c>
      <c r="F115" s="26">
        <f t="shared" si="9"/>
        <v>1270.8333333333333</v>
      </c>
      <c r="G115" s="4">
        <v>19</v>
      </c>
      <c r="H115" s="4">
        <f>_xlfn.XLOOKUP(A115,'MONTHLY ATTENDANCE SUMMARY'!A114:A413,'MONTHLY ATTENDANCE SUMMARY'!F114:F413)</f>
        <v>2</v>
      </c>
      <c r="I115" s="4">
        <f t="shared" si="10"/>
        <v>1</v>
      </c>
      <c r="J115" s="4">
        <f t="shared" si="11"/>
        <v>1</v>
      </c>
      <c r="K115" s="26">
        <f t="shared" si="12"/>
        <v>26052.083333333332</v>
      </c>
      <c r="L115" s="26">
        <f t="shared" si="8"/>
        <v>3660</v>
      </c>
      <c r="M115" s="26">
        <f t="shared" si="13"/>
        <v>200</v>
      </c>
      <c r="N115" s="26">
        <f t="shared" si="14"/>
        <v>0</v>
      </c>
      <c r="O115" s="27">
        <f t="shared" si="15"/>
        <v>22192.083333333332</v>
      </c>
    </row>
    <row r="116" spans="1:15" x14ac:dyDescent="0.3">
      <c r="A116" s="10" t="str">
        <v>EMP113</v>
      </c>
      <c r="B116" s="4" t="str">
        <v>Sanjay N</v>
      </c>
      <c r="C116" s="4" t="str">
        <f>_xlfn.XLOOKUP(A116,'EMPLOYEE MASTER DATA'!A116:A415,'EMPLOYEE MASTER DATA'!D116:D415)</f>
        <v>Maintenance</v>
      </c>
      <c r="D116" s="4" t="str">
        <f>_xlfn.XLOOKUP(A116,'EMPLOYEE MASTER DATA'!A116:A415,'EMPLOYEE MASTER DATA'!E116:E415)</f>
        <v>Mechanical Technician</v>
      </c>
      <c r="E116" s="26">
        <f>_xlfn.XLOOKUP(A116,'EMPLOYEE MASTER DATA'!A116:A415,'EMPLOYEE MASTER DATA'!F116:F415)</f>
        <v>26000</v>
      </c>
      <c r="F116" s="26">
        <f t="shared" si="9"/>
        <v>1083.3333333333333</v>
      </c>
      <c r="G116" s="4">
        <v>19</v>
      </c>
      <c r="H116" s="4">
        <f>_xlfn.XLOOKUP(A116,'MONTHLY ATTENDANCE SUMMARY'!A115:A414,'MONTHLY ATTENDANCE SUMMARY'!F115:F414)</f>
        <v>2</v>
      </c>
      <c r="I116" s="4">
        <f t="shared" si="10"/>
        <v>1</v>
      </c>
      <c r="J116" s="4">
        <f t="shared" si="11"/>
        <v>1</v>
      </c>
      <c r="K116" s="26">
        <f t="shared" si="12"/>
        <v>22208.333333333332</v>
      </c>
      <c r="L116" s="26">
        <f t="shared" si="8"/>
        <v>3120</v>
      </c>
      <c r="M116" s="26">
        <f t="shared" si="13"/>
        <v>200</v>
      </c>
      <c r="N116" s="26">
        <f t="shared" si="14"/>
        <v>0</v>
      </c>
      <c r="O116" s="27">
        <f t="shared" si="15"/>
        <v>18888.333333333332</v>
      </c>
    </row>
    <row r="117" spans="1:15" x14ac:dyDescent="0.3">
      <c r="A117" s="10" t="str">
        <v>EMP114</v>
      </c>
      <c r="B117" s="4" t="str">
        <v>Naveen Selvam</v>
      </c>
      <c r="C117" s="4" t="str">
        <f>_xlfn.XLOOKUP(A117,'EMPLOYEE MASTER DATA'!A117:A416,'EMPLOYEE MASTER DATA'!D117:D416)</f>
        <v>Back End</v>
      </c>
      <c r="D117" s="4" t="str">
        <f>_xlfn.XLOOKUP(A117,'EMPLOYEE MASTER DATA'!A117:A416,'EMPLOYEE MASTER DATA'!E117:E416)</f>
        <v>Operations Manager</v>
      </c>
      <c r="E117" s="26">
        <f>_xlfn.XLOOKUP(A117,'EMPLOYEE MASTER DATA'!A117:A416,'EMPLOYEE MASTER DATA'!F117:F416)</f>
        <v>60000</v>
      </c>
      <c r="F117" s="26">
        <f t="shared" si="9"/>
        <v>2500</v>
      </c>
      <c r="G117" s="4">
        <v>19</v>
      </c>
      <c r="H117" s="4">
        <f>_xlfn.XLOOKUP(A117,'MONTHLY ATTENDANCE SUMMARY'!A116:A415,'MONTHLY ATTENDANCE SUMMARY'!F116:F415)</f>
        <v>2</v>
      </c>
      <c r="I117" s="4">
        <f t="shared" si="10"/>
        <v>1</v>
      </c>
      <c r="J117" s="4">
        <f t="shared" si="11"/>
        <v>1</v>
      </c>
      <c r="K117" s="26">
        <f t="shared" si="12"/>
        <v>51250</v>
      </c>
      <c r="L117" s="26">
        <f t="shared" si="8"/>
        <v>7200</v>
      </c>
      <c r="M117" s="26">
        <f t="shared" si="13"/>
        <v>200</v>
      </c>
      <c r="N117" s="26">
        <f t="shared" si="14"/>
        <v>0</v>
      </c>
      <c r="O117" s="27">
        <f t="shared" si="15"/>
        <v>43850</v>
      </c>
    </row>
    <row r="118" spans="1:15" x14ac:dyDescent="0.3">
      <c r="A118" s="10" t="str">
        <v>EMP115</v>
      </c>
      <c r="B118" s="4" t="str">
        <v>Vijay Raj</v>
      </c>
      <c r="C118" s="4" t="str">
        <f>_xlfn.XLOOKUP(A118,'EMPLOYEE MASTER DATA'!A118:A417,'EMPLOYEE MASTER DATA'!D118:D417)</f>
        <v>HR</v>
      </c>
      <c r="D118" s="4" t="str">
        <f>_xlfn.XLOOKUP(A118,'EMPLOYEE MASTER DATA'!A118:A417,'EMPLOYEE MASTER DATA'!E118:E417)</f>
        <v>Recruiter</v>
      </c>
      <c r="E118" s="26">
        <f>_xlfn.XLOOKUP(A118,'EMPLOYEE MASTER DATA'!A118:A417,'EMPLOYEE MASTER DATA'!F118:F417)</f>
        <v>23500</v>
      </c>
      <c r="F118" s="26">
        <f t="shared" si="9"/>
        <v>979.16666666666663</v>
      </c>
      <c r="G118" s="4">
        <v>21</v>
      </c>
      <c r="H118" s="4">
        <f>_xlfn.XLOOKUP(A118,'MONTHLY ATTENDANCE SUMMARY'!A117:A416,'MONTHLY ATTENDANCE SUMMARY'!F117:F416)</f>
        <v>1</v>
      </c>
      <c r="I118" s="4">
        <f t="shared" si="10"/>
        <v>1</v>
      </c>
      <c r="J118" s="4">
        <f t="shared" si="11"/>
        <v>0</v>
      </c>
      <c r="K118" s="26">
        <f t="shared" si="12"/>
        <v>21541.666666666664</v>
      </c>
      <c r="L118" s="26">
        <f t="shared" si="8"/>
        <v>2820</v>
      </c>
      <c r="M118" s="26">
        <f t="shared" si="13"/>
        <v>200</v>
      </c>
      <c r="N118" s="26">
        <f t="shared" si="14"/>
        <v>0</v>
      </c>
      <c r="O118" s="27">
        <f t="shared" si="15"/>
        <v>18521.666666666664</v>
      </c>
    </row>
    <row r="119" spans="1:15" x14ac:dyDescent="0.3">
      <c r="A119" s="10" t="str">
        <v>EMP116</v>
      </c>
      <c r="B119" s="4" t="str">
        <v>Suresh Raja</v>
      </c>
      <c r="C119" s="4" t="str">
        <f>_xlfn.XLOOKUP(A119,'EMPLOYEE MASTER DATA'!A119:A418,'EMPLOYEE MASTER DATA'!D119:D418)</f>
        <v>HR</v>
      </c>
      <c r="D119" s="4" t="str">
        <f>_xlfn.XLOOKUP(A119,'EMPLOYEE MASTER DATA'!A119:A418,'EMPLOYEE MASTER DATA'!E119:E418)</f>
        <v>Senior HR Executive</v>
      </c>
      <c r="E119" s="26">
        <f>_xlfn.XLOOKUP(A119,'EMPLOYEE MASTER DATA'!A119:A418,'EMPLOYEE MASTER DATA'!F119:F418)</f>
        <v>35000</v>
      </c>
      <c r="F119" s="26">
        <f t="shared" si="9"/>
        <v>1458.3333333333333</v>
      </c>
      <c r="G119" s="4">
        <v>21</v>
      </c>
      <c r="H119" s="4">
        <f>_xlfn.XLOOKUP(A119,'MONTHLY ATTENDANCE SUMMARY'!A118:A417,'MONTHLY ATTENDANCE SUMMARY'!F118:F417)</f>
        <v>2</v>
      </c>
      <c r="I119" s="4">
        <f t="shared" si="10"/>
        <v>1</v>
      </c>
      <c r="J119" s="4">
        <f t="shared" si="11"/>
        <v>1</v>
      </c>
      <c r="K119" s="26">
        <f t="shared" si="12"/>
        <v>32812.5</v>
      </c>
      <c r="L119" s="26">
        <f t="shared" si="8"/>
        <v>4200</v>
      </c>
      <c r="M119" s="26">
        <f t="shared" si="13"/>
        <v>200</v>
      </c>
      <c r="N119" s="26">
        <f t="shared" si="14"/>
        <v>0</v>
      </c>
      <c r="O119" s="27">
        <f t="shared" si="15"/>
        <v>28412.5</v>
      </c>
    </row>
    <row r="120" spans="1:15" x14ac:dyDescent="0.3">
      <c r="A120" s="10" t="str">
        <v>EMP117</v>
      </c>
      <c r="B120" s="4" t="str">
        <v>Kishore S</v>
      </c>
      <c r="C120" s="4" t="str">
        <f>_xlfn.XLOOKUP(A120,'EMPLOYEE MASTER DATA'!A120:A419,'EMPLOYEE MASTER DATA'!D120:D419)</f>
        <v>Business Development</v>
      </c>
      <c r="D120" s="4" t="str">
        <f>_xlfn.XLOOKUP(A120,'EMPLOYEE MASTER DATA'!A120:A419,'EMPLOYEE MASTER DATA'!E120:E419)</f>
        <v>Senior Business Development Executive</v>
      </c>
      <c r="E120" s="26">
        <f>_xlfn.XLOOKUP(A120,'EMPLOYEE MASTER DATA'!A120:A419,'EMPLOYEE MASTER DATA'!F120:F419)</f>
        <v>38000</v>
      </c>
      <c r="F120" s="26">
        <f t="shared" si="9"/>
        <v>1583.3333333333333</v>
      </c>
      <c r="G120" s="4">
        <v>21</v>
      </c>
      <c r="H120" s="4">
        <f>_xlfn.XLOOKUP(A120,'MONTHLY ATTENDANCE SUMMARY'!A119:A418,'MONTHLY ATTENDANCE SUMMARY'!F119:F418)</f>
        <v>1</v>
      </c>
      <c r="I120" s="4">
        <f t="shared" si="10"/>
        <v>1</v>
      </c>
      <c r="J120" s="4">
        <f t="shared" si="11"/>
        <v>0</v>
      </c>
      <c r="K120" s="26">
        <f t="shared" si="12"/>
        <v>34833.333333333328</v>
      </c>
      <c r="L120" s="26">
        <f t="shared" si="8"/>
        <v>4560</v>
      </c>
      <c r="M120" s="26">
        <f t="shared" si="13"/>
        <v>200</v>
      </c>
      <c r="N120" s="26">
        <f t="shared" si="14"/>
        <v>0</v>
      </c>
      <c r="O120" s="27">
        <f t="shared" si="15"/>
        <v>30073.333333333328</v>
      </c>
    </row>
    <row r="121" spans="1:15" x14ac:dyDescent="0.3">
      <c r="A121" s="10" t="str">
        <v>EMP118</v>
      </c>
      <c r="B121" s="4" t="str">
        <v>Prakash Raj</v>
      </c>
      <c r="C121" s="4" t="str">
        <f>_xlfn.XLOOKUP(A121,'EMPLOYEE MASTER DATA'!A121:A420,'EMPLOYEE MASTER DATA'!D121:D420)</f>
        <v>Accounts</v>
      </c>
      <c r="D121" s="4" t="str">
        <f>_xlfn.XLOOKUP(A121,'EMPLOYEE MASTER DATA'!A121:A420,'EMPLOYEE MASTER DATA'!E121:E420)</f>
        <v>Senior Accountant</v>
      </c>
      <c r="E121" s="26">
        <f>_xlfn.XLOOKUP(A121,'EMPLOYEE MASTER DATA'!A121:A420,'EMPLOYEE MASTER DATA'!F121:F420)</f>
        <v>55000</v>
      </c>
      <c r="F121" s="26">
        <f t="shared" si="9"/>
        <v>2291.6666666666665</v>
      </c>
      <c r="G121" s="4">
        <v>21</v>
      </c>
      <c r="H121" s="4">
        <f>_xlfn.XLOOKUP(A121,'MONTHLY ATTENDANCE SUMMARY'!A120:A419,'MONTHLY ATTENDANCE SUMMARY'!F120:F419)</f>
        <v>1</v>
      </c>
      <c r="I121" s="4">
        <f t="shared" si="10"/>
        <v>1</v>
      </c>
      <c r="J121" s="4">
        <f t="shared" si="11"/>
        <v>0</v>
      </c>
      <c r="K121" s="26">
        <f t="shared" si="12"/>
        <v>50416.666666666664</v>
      </c>
      <c r="L121" s="26">
        <f t="shared" si="8"/>
        <v>6600</v>
      </c>
      <c r="M121" s="26">
        <f t="shared" si="13"/>
        <v>200</v>
      </c>
      <c r="N121" s="26">
        <f t="shared" si="14"/>
        <v>0</v>
      </c>
      <c r="O121" s="27">
        <f t="shared" si="15"/>
        <v>43616.666666666664</v>
      </c>
    </row>
    <row r="122" spans="1:15" x14ac:dyDescent="0.3">
      <c r="A122" s="10" t="str">
        <v>EMP119</v>
      </c>
      <c r="B122" s="4" t="str">
        <v>Saravanan Prasad</v>
      </c>
      <c r="C122" s="4" t="str">
        <f>_xlfn.XLOOKUP(A122,'EMPLOYEE MASTER DATA'!A122:A421,'EMPLOYEE MASTER DATA'!D122:D421)</f>
        <v>Customer Relationship</v>
      </c>
      <c r="D122" s="4" t="str">
        <f>_xlfn.XLOOKUP(A122,'EMPLOYEE MASTER DATA'!A122:A421,'EMPLOYEE MASTER DATA'!E122:E421)</f>
        <v>Customer Relationship Officer</v>
      </c>
      <c r="E122" s="26">
        <f>_xlfn.XLOOKUP(A122,'EMPLOYEE MASTER DATA'!A122:A421,'EMPLOYEE MASTER DATA'!F122:F421)</f>
        <v>32500</v>
      </c>
      <c r="F122" s="26">
        <f t="shared" si="9"/>
        <v>1354.1666666666667</v>
      </c>
      <c r="G122" s="4">
        <v>20</v>
      </c>
      <c r="H122" s="4">
        <f>_xlfn.XLOOKUP(A122,'MONTHLY ATTENDANCE SUMMARY'!A121:A420,'MONTHLY ATTENDANCE SUMMARY'!F121:F420)</f>
        <v>2</v>
      </c>
      <c r="I122" s="4">
        <f t="shared" si="10"/>
        <v>1</v>
      </c>
      <c r="J122" s="4">
        <f t="shared" si="11"/>
        <v>1</v>
      </c>
      <c r="K122" s="26">
        <f t="shared" si="12"/>
        <v>29114.583333333336</v>
      </c>
      <c r="L122" s="26">
        <f t="shared" si="8"/>
        <v>3900</v>
      </c>
      <c r="M122" s="26">
        <f t="shared" si="13"/>
        <v>200</v>
      </c>
      <c r="N122" s="26">
        <f t="shared" si="14"/>
        <v>0</v>
      </c>
      <c r="O122" s="27">
        <f t="shared" si="15"/>
        <v>25014.583333333336</v>
      </c>
    </row>
    <row r="123" spans="1:15" x14ac:dyDescent="0.3">
      <c r="A123" s="10" t="str">
        <v>EMP120</v>
      </c>
      <c r="B123" s="4" t="str">
        <v>Vignesh Prasad</v>
      </c>
      <c r="C123" s="4" t="str">
        <f>_xlfn.XLOOKUP(A123,'EMPLOYEE MASTER DATA'!A123:A422,'EMPLOYEE MASTER DATA'!D123:D422)</f>
        <v>Back End</v>
      </c>
      <c r="D123" s="4" t="str">
        <f>_xlfn.XLOOKUP(A123,'EMPLOYEE MASTER DATA'!A123:A422,'EMPLOYEE MASTER DATA'!E123:E422)</f>
        <v>Documentation Executive</v>
      </c>
      <c r="E123" s="26">
        <f>_xlfn.XLOOKUP(A123,'EMPLOYEE MASTER DATA'!A123:A422,'EMPLOYEE MASTER DATA'!F123:F422)</f>
        <v>24000</v>
      </c>
      <c r="F123" s="26">
        <f t="shared" si="9"/>
        <v>1000</v>
      </c>
      <c r="G123" s="4">
        <v>18</v>
      </c>
      <c r="H123" s="4">
        <f>_xlfn.XLOOKUP(A123,'MONTHLY ATTENDANCE SUMMARY'!A122:A421,'MONTHLY ATTENDANCE SUMMARY'!F122:F421)</f>
        <v>2</v>
      </c>
      <c r="I123" s="4">
        <f t="shared" si="10"/>
        <v>1</v>
      </c>
      <c r="J123" s="4">
        <f t="shared" si="11"/>
        <v>1</v>
      </c>
      <c r="K123" s="26">
        <f t="shared" si="12"/>
        <v>19500</v>
      </c>
      <c r="L123" s="26">
        <f t="shared" si="8"/>
        <v>2880</v>
      </c>
      <c r="M123" s="26">
        <f t="shared" si="13"/>
        <v>0</v>
      </c>
      <c r="N123" s="26">
        <f t="shared" si="14"/>
        <v>146.25</v>
      </c>
      <c r="O123" s="27">
        <f t="shared" si="15"/>
        <v>16473.75</v>
      </c>
    </row>
    <row r="124" spans="1:15" x14ac:dyDescent="0.3">
      <c r="A124" s="10" t="str">
        <v>EMP121</v>
      </c>
      <c r="B124" s="4" t="str">
        <v>Ganesh Prasad</v>
      </c>
      <c r="C124" s="4" t="str">
        <f>_xlfn.XLOOKUP(A124,'EMPLOYEE MASTER DATA'!A124:A423,'EMPLOYEE MASTER DATA'!D124:D423)</f>
        <v>IT</v>
      </c>
      <c r="D124" s="4" t="str">
        <f>_xlfn.XLOOKUP(A124,'EMPLOYEE MASTER DATA'!A124:A423,'EMPLOYEE MASTER DATA'!E124:E423)</f>
        <v>Software Developer</v>
      </c>
      <c r="E124" s="26">
        <f>_xlfn.XLOOKUP(A124,'EMPLOYEE MASTER DATA'!A124:A423,'EMPLOYEE MASTER DATA'!F124:F423)</f>
        <v>63500</v>
      </c>
      <c r="F124" s="26">
        <f t="shared" si="9"/>
        <v>2645.8333333333335</v>
      </c>
      <c r="G124" s="4">
        <v>19</v>
      </c>
      <c r="H124" s="4">
        <f>_xlfn.XLOOKUP(A124,'MONTHLY ATTENDANCE SUMMARY'!A123:A422,'MONTHLY ATTENDANCE SUMMARY'!F123:F422)</f>
        <v>2</v>
      </c>
      <c r="I124" s="4">
        <f t="shared" si="10"/>
        <v>1</v>
      </c>
      <c r="J124" s="4">
        <f t="shared" si="11"/>
        <v>1</v>
      </c>
      <c r="K124" s="26">
        <f t="shared" si="12"/>
        <v>54239.583333333336</v>
      </c>
      <c r="L124" s="26">
        <f t="shared" si="8"/>
        <v>7620</v>
      </c>
      <c r="M124" s="26">
        <f t="shared" si="13"/>
        <v>200</v>
      </c>
      <c r="N124" s="26">
        <f t="shared" si="14"/>
        <v>0</v>
      </c>
      <c r="O124" s="27">
        <f t="shared" si="15"/>
        <v>46419.583333333336</v>
      </c>
    </row>
    <row r="125" spans="1:15" x14ac:dyDescent="0.3">
      <c r="A125" s="10" t="str">
        <v>EMP122</v>
      </c>
      <c r="B125" s="4" t="str">
        <v>Praveen Raja</v>
      </c>
      <c r="C125" s="4" t="str">
        <f>_xlfn.XLOOKUP(A125,'EMPLOYEE MASTER DATA'!A125:A424,'EMPLOYEE MASTER DATA'!D125:D424)</f>
        <v>Front Office</v>
      </c>
      <c r="D125" s="4" t="str">
        <f>_xlfn.XLOOKUP(A125,'EMPLOYEE MASTER DATA'!A125:A424,'EMPLOYEE MASTER DATA'!E125:E424)</f>
        <v>Front Office Executive</v>
      </c>
      <c r="E125" s="26">
        <f>_xlfn.XLOOKUP(A125,'EMPLOYEE MASTER DATA'!A125:A424,'EMPLOYEE MASTER DATA'!F125:F424)</f>
        <v>30000</v>
      </c>
      <c r="F125" s="26">
        <f t="shared" si="9"/>
        <v>1250</v>
      </c>
      <c r="G125" s="4">
        <v>19</v>
      </c>
      <c r="H125" s="4">
        <f>_xlfn.XLOOKUP(A125,'MONTHLY ATTENDANCE SUMMARY'!A124:A423,'MONTHLY ATTENDANCE SUMMARY'!F124:F423)</f>
        <v>1</v>
      </c>
      <c r="I125" s="4">
        <f t="shared" si="10"/>
        <v>1</v>
      </c>
      <c r="J125" s="4">
        <f t="shared" si="11"/>
        <v>0</v>
      </c>
      <c r="K125" s="26">
        <f t="shared" si="12"/>
        <v>25000</v>
      </c>
      <c r="L125" s="26">
        <f t="shared" si="8"/>
        <v>3600</v>
      </c>
      <c r="M125" s="26">
        <f t="shared" si="13"/>
        <v>200</v>
      </c>
      <c r="N125" s="26">
        <f t="shared" si="14"/>
        <v>0</v>
      </c>
      <c r="O125" s="27">
        <f t="shared" si="15"/>
        <v>21200</v>
      </c>
    </row>
    <row r="126" spans="1:15" x14ac:dyDescent="0.3">
      <c r="A126" s="10" t="str">
        <v>EMP123</v>
      </c>
      <c r="B126" s="4" t="str">
        <v>Kishore R</v>
      </c>
      <c r="C126" s="4" t="str">
        <f>_xlfn.XLOOKUP(A126,'EMPLOYEE MASTER DATA'!A126:A425,'EMPLOYEE MASTER DATA'!D126:D425)</f>
        <v>Front Office</v>
      </c>
      <c r="D126" s="4" t="str">
        <f>_xlfn.XLOOKUP(A126,'EMPLOYEE MASTER DATA'!A126:A425,'EMPLOYEE MASTER DATA'!E126:E425)</f>
        <v>Front Office Manager</v>
      </c>
      <c r="E126" s="26">
        <f>_xlfn.XLOOKUP(A126,'EMPLOYEE MASTER DATA'!A126:A425,'EMPLOYEE MASTER DATA'!F126:F425)</f>
        <v>45500</v>
      </c>
      <c r="F126" s="26">
        <f t="shared" si="9"/>
        <v>1895.8333333333333</v>
      </c>
      <c r="G126" s="4">
        <v>20</v>
      </c>
      <c r="H126" s="4">
        <f>_xlfn.XLOOKUP(A126,'MONTHLY ATTENDANCE SUMMARY'!A125:A424,'MONTHLY ATTENDANCE SUMMARY'!F125:F424)</f>
        <v>2</v>
      </c>
      <c r="I126" s="4">
        <f t="shared" si="10"/>
        <v>1</v>
      </c>
      <c r="J126" s="4">
        <f t="shared" si="11"/>
        <v>1</v>
      </c>
      <c r="K126" s="26">
        <f t="shared" si="12"/>
        <v>40760.416666666664</v>
      </c>
      <c r="L126" s="26">
        <f t="shared" si="8"/>
        <v>5460</v>
      </c>
      <c r="M126" s="26">
        <f t="shared" si="13"/>
        <v>200</v>
      </c>
      <c r="N126" s="26">
        <f t="shared" si="14"/>
        <v>0</v>
      </c>
      <c r="O126" s="27">
        <f t="shared" si="15"/>
        <v>35100.416666666664</v>
      </c>
    </row>
    <row r="127" spans="1:15" x14ac:dyDescent="0.3">
      <c r="A127" s="10" t="str">
        <v>EMP124</v>
      </c>
      <c r="B127" s="4" t="str">
        <v>Vinoth B</v>
      </c>
      <c r="C127" s="4" t="str">
        <f>_xlfn.XLOOKUP(A127,'EMPLOYEE MASTER DATA'!A127:A426,'EMPLOYEE MASTER DATA'!D127:D426)</f>
        <v>Back End</v>
      </c>
      <c r="D127" s="4" t="str">
        <f>_xlfn.XLOOKUP(A127,'EMPLOYEE MASTER DATA'!A127:A426,'EMPLOYEE MASTER DATA'!E127:E426)</f>
        <v>Documentation Executive</v>
      </c>
      <c r="E127" s="26">
        <f>_xlfn.XLOOKUP(A127,'EMPLOYEE MASTER DATA'!A127:A426,'EMPLOYEE MASTER DATA'!F127:F426)</f>
        <v>24000</v>
      </c>
      <c r="F127" s="26">
        <f t="shared" si="9"/>
        <v>1000</v>
      </c>
      <c r="G127" s="4">
        <v>22</v>
      </c>
      <c r="H127" s="4">
        <f>_xlfn.XLOOKUP(A127,'MONTHLY ATTENDANCE SUMMARY'!A126:A425,'MONTHLY ATTENDANCE SUMMARY'!F126:F425)</f>
        <v>2</v>
      </c>
      <c r="I127" s="4">
        <f t="shared" si="10"/>
        <v>1</v>
      </c>
      <c r="J127" s="4">
        <f t="shared" si="11"/>
        <v>1</v>
      </c>
      <c r="K127" s="26">
        <f t="shared" si="12"/>
        <v>23500</v>
      </c>
      <c r="L127" s="26">
        <f t="shared" si="8"/>
        <v>2880</v>
      </c>
      <c r="M127" s="26">
        <f t="shared" si="13"/>
        <v>200</v>
      </c>
      <c r="N127" s="26">
        <f t="shared" si="14"/>
        <v>0</v>
      </c>
      <c r="O127" s="27">
        <f t="shared" si="15"/>
        <v>20420</v>
      </c>
    </row>
    <row r="128" spans="1:15" x14ac:dyDescent="0.3">
      <c r="A128" s="10" t="str">
        <v>EMP125</v>
      </c>
      <c r="B128" s="4" t="str">
        <v>Karthik Prasad</v>
      </c>
      <c r="C128" s="4" t="str">
        <f>_xlfn.XLOOKUP(A128,'EMPLOYEE MASTER DATA'!A128:A427,'EMPLOYEE MASTER DATA'!D128:D427)</f>
        <v>HR</v>
      </c>
      <c r="D128" s="4" t="str">
        <f>_xlfn.XLOOKUP(A128,'EMPLOYEE MASTER DATA'!A128:A427,'EMPLOYEE MASTER DATA'!E128:E427)</f>
        <v>Payroll Executive</v>
      </c>
      <c r="E128" s="26">
        <f>_xlfn.XLOOKUP(A128,'EMPLOYEE MASTER DATA'!A128:A427,'EMPLOYEE MASTER DATA'!F128:F427)</f>
        <v>29000</v>
      </c>
      <c r="F128" s="26">
        <f t="shared" si="9"/>
        <v>1208.3333333333333</v>
      </c>
      <c r="G128" s="4">
        <v>21</v>
      </c>
      <c r="H128" s="4">
        <f>_xlfn.XLOOKUP(A128,'MONTHLY ATTENDANCE SUMMARY'!A127:A426,'MONTHLY ATTENDANCE SUMMARY'!F127:F426)</f>
        <v>1</v>
      </c>
      <c r="I128" s="4">
        <f t="shared" si="10"/>
        <v>1</v>
      </c>
      <c r="J128" s="4">
        <f t="shared" si="11"/>
        <v>0</v>
      </c>
      <c r="K128" s="26">
        <f t="shared" si="12"/>
        <v>26583.333333333332</v>
      </c>
      <c r="L128" s="26">
        <f t="shared" si="8"/>
        <v>3480</v>
      </c>
      <c r="M128" s="26">
        <f t="shared" si="13"/>
        <v>200</v>
      </c>
      <c r="N128" s="26">
        <f t="shared" si="14"/>
        <v>0</v>
      </c>
      <c r="O128" s="27">
        <f t="shared" si="15"/>
        <v>22903.333333333332</v>
      </c>
    </row>
    <row r="129" spans="1:15" x14ac:dyDescent="0.3">
      <c r="A129" s="10" t="str">
        <v>EMP126</v>
      </c>
      <c r="B129" s="4" t="str">
        <v>Saravanan B</v>
      </c>
      <c r="C129" s="4" t="str">
        <f>_xlfn.XLOOKUP(A129,'EMPLOYEE MASTER DATA'!A129:A428,'EMPLOYEE MASTER DATA'!D129:D428)</f>
        <v>Procurement</v>
      </c>
      <c r="D129" s="4" t="str">
        <f>_xlfn.XLOOKUP(A129,'EMPLOYEE MASTER DATA'!A129:A428,'EMPLOYEE MASTER DATA'!E129:E428)</f>
        <v>Sourcing Executive</v>
      </c>
      <c r="E129" s="26">
        <f>_xlfn.XLOOKUP(A129,'EMPLOYEE MASTER DATA'!A129:A428,'EMPLOYEE MASTER DATA'!F129:F428)</f>
        <v>33000</v>
      </c>
      <c r="F129" s="26">
        <f t="shared" si="9"/>
        <v>1375</v>
      </c>
      <c r="G129" s="4">
        <v>21</v>
      </c>
      <c r="H129" s="4">
        <f>_xlfn.XLOOKUP(A129,'MONTHLY ATTENDANCE SUMMARY'!A128:A427,'MONTHLY ATTENDANCE SUMMARY'!F128:F427)</f>
        <v>2</v>
      </c>
      <c r="I129" s="4">
        <f t="shared" si="10"/>
        <v>1</v>
      </c>
      <c r="J129" s="4">
        <f t="shared" si="11"/>
        <v>1</v>
      </c>
      <c r="K129" s="26">
        <f t="shared" si="12"/>
        <v>30937.5</v>
      </c>
      <c r="L129" s="26">
        <f t="shared" si="8"/>
        <v>3960</v>
      </c>
      <c r="M129" s="26">
        <f t="shared" si="13"/>
        <v>200</v>
      </c>
      <c r="N129" s="26">
        <f t="shared" si="14"/>
        <v>0</v>
      </c>
      <c r="O129" s="27">
        <f t="shared" si="15"/>
        <v>26777.5</v>
      </c>
    </row>
    <row r="130" spans="1:15" x14ac:dyDescent="0.3">
      <c r="A130" s="10" t="str">
        <v>EMP127</v>
      </c>
      <c r="B130" s="4" t="str">
        <v>Dinesh Krishnan</v>
      </c>
      <c r="C130" s="4" t="str">
        <f>_xlfn.XLOOKUP(A130,'EMPLOYEE MASTER DATA'!A130:A429,'EMPLOYEE MASTER DATA'!D130:D429)</f>
        <v>Accounts</v>
      </c>
      <c r="D130" s="4" t="str">
        <f>_xlfn.XLOOKUP(A130,'EMPLOYEE MASTER DATA'!A130:A429,'EMPLOYEE MASTER DATA'!E130:E429)</f>
        <v>Accounts Manager</v>
      </c>
      <c r="E130" s="26">
        <f>_xlfn.XLOOKUP(A130,'EMPLOYEE MASTER DATA'!A130:A429,'EMPLOYEE MASTER DATA'!F130:F429)</f>
        <v>65000</v>
      </c>
      <c r="F130" s="26">
        <f t="shared" si="9"/>
        <v>2708.3333333333335</v>
      </c>
      <c r="G130" s="4">
        <v>22</v>
      </c>
      <c r="H130" s="4">
        <f>_xlfn.XLOOKUP(A130,'MONTHLY ATTENDANCE SUMMARY'!A129:A428,'MONTHLY ATTENDANCE SUMMARY'!F129:F428)</f>
        <v>2</v>
      </c>
      <c r="I130" s="4">
        <f t="shared" si="10"/>
        <v>1</v>
      </c>
      <c r="J130" s="4">
        <f t="shared" si="11"/>
        <v>1</v>
      </c>
      <c r="K130" s="26">
        <f t="shared" si="12"/>
        <v>63645.833333333336</v>
      </c>
      <c r="L130" s="26">
        <f t="shared" si="8"/>
        <v>7800</v>
      </c>
      <c r="M130" s="26">
        <f t="shared" si="13"/>
        <v>200</v>
      </c>
      <c r="N130" s="26">
        <f t="shared" si="14"/>
        <v>0</v>
      </c>
      <c r="O130" s="27">
        <f t="shared" si="15"/>
        <v>55645.833333333336</v>
      </c>
    </row>
    <row r="131" spans="1:15" x14ac:dyDescent="0.3">
      <c r="A131" s="10" t="str">
        <v>EMP128</v>
      </c>
      <c r="B131" s="4" t="str">
        <v>Arun Krishnan</v>
      </c>
      <c r="C131" s="4" t="str">
        <f>_xlfn.XLOOKUP(A131,'EMPLOYEE MASTER DATA'!A131:A430,'EMPLOYEE MASTER DATA'!D131:D430)</f>
        <v>Customer Relationship</v>
      </c>
      <c r="D131" s="4" t="str">
        <f>_xlfn.XLOOKUP(A131,'EMPLOYEE MASTER DATA'!A131:A430,'EMPLOYEE MASTER DATA'!E131:E430)</f>
        <v>Customer Success Executive</v>
      </c>
      <c r="E131" s="26">
        <f>_xlfn.XLOOKUP(A131,'EMPLOYEE MASTER DATA'!A131:A430,'EMPLOYEE MASTER DATA'!F131:F430)</f>
        <v>38000</v>
      </c>
      <c r="F131" s="26">
        <f t="shared" si="9"/>
        <v>1583.3333333333333</v>
      </c>
      <c r="G131" s="4">
        <v>20</v>
      </c>
      <c r="H131" s="4">
        <f>_xlfn.XLOOKUP(A131,'MONTHLY ATTENDANCE SUMMARY'!A130:A429,'MONTHLY ATTENDANCE SUMMARY'!F130:F429)</f>
        <v>2</v>
      </c>
      <c r="I131" s="4">
        <f t="shared" si="10"/>
        <v>1</v>
      </c>
      <c r="J131" s="4">
        <f t="shared" si="11"/>
        <v>1</v>
      </c>
      <c r="K131" s="26">
        <f t="shared" si="12"/>
        <v>34041.666666666664</v>
      </c>
      <c r="L131" s="26">
        <f t="shared" si="8"/>
        <v>4560</v>
      </c>
      <c r="M131" s="26">
        <f t="shared" si="13"/>
        <v>200</v>
      </c>
      <c r="N131" s="26">
        <f t="shared" si="14"/>
        <v>0</v>
      </c>
      <c r="O131" s="27">
        <f t="shared" si="15"/>
        <v>29281.666666666664</v>
      </c>
    </row>
    <row r="132" spans="1:15" x14ac:dyDescent="0.3">
      <c r="A132" s="10" t="str">
        <v>EMP129</v>
      </c>
      <c r="B132" s="4" t="str">
        <v>Dinesh Selvam</v>
      </c>
      <c r="C132" s="4" t="str">
        <f>_xlfn.XLOOKUP(A132,'EMPLOYEE MASTER DATA'!A132:A431,'EMPLOYEE MASTER DATA'!D132:D431)</f>
        <v>Accounts</v>
      </c>
      <c r="D132" s="4" t="str">
        <f>_xlfn.XLOOKUP(A132,'EMPLOYEE MASTER DATA'!A132:A431,'EMPLOYEE MASTER DATA'!E132:E431)</f>
        <v>Finance Executive</v>
      </c>
      <c r="E132" s="26">
        <f>_xlfn.XLOOKUP(A132,'EMPLOYEE MASTER DATA'!A132:A431,'EMPLOYEE MASTER DATA'!F132:F431)</f>
        <v>31500</v>
      </c>
      <c r="F132" s="26">
        <f t="shared" si="9"/>
        <v>1312.5</v>
      </c>
      <c r="G132" s="4">
        <v>19</v>
      </c>
      <c r="H132" s="4">
        <f>_xlfn.XLOOKUP(A132,'MONTHLY ATTENDANCE SUMMARY'!A131:A430,'MONTHLY ATTENDANCE SUMMARY'!F131:F430)</f>
        <v>1</v>
      </c>
      <c r="I132" s="4">
        <f t="shared" si="10"/>
        <v>1</v>
      </c>
      <c r="J132" s="4">
        <f t="shared" si="11"/>
        <v>0</v>
      </c>
      <c r="K132" s="26">
        <f t="shared" si="12"/>
        <v>26250</v>
      </c>
      <c r="L132" s="26">
        <f t="shared" ref="L132:L195" si="16">E132*12%</f>
        <v>3780</v>
      </c>
      <c r="M132" s="26">
        <f t="shared" si="13"/>
        <v>200</v>
      </c>
      <c r="N132" s="26">
        <f t="shared" si="14"/>
        <v>0</v>
      </c>
      <c r="O132" s="27">
        <f t="shared" si="15"/>
        <v>22270</v>
      </c>
    </row>
    <row r="133" spans="1:15" x14ac:dyDescent="0.3">
      <c r="A133" s="10" t="str">
        <v>EMP130</v>
      </c>
      <c r="B133" s="4" t="str">
        <v>Sanjay Babu</v>
      </c>
      <c r="C133" s="4" t="str">
        <f>_xlfn.XLOOKUP(A133,'EMPLOYEE MASTER DATA'!A133:A432,'EMPLOYEE MASTER DATA'!D133:D432)</f>
        <v>Maintenance</v>
      </c>
      <c r="D133" s="4" t="str">
        <f>_xlfn.XLOOKUP(A133,'EMPLOYEE MASTER DATA'!A133:A432,'EMPLOYEE MASTER DATA'!E133:E432)</f>
        <v>Maintenance Manager</v>
      </c>
      <c r="E133" s="26">
        <f>_xlfn.XLOOKUP(A133,'EMPLOYEE MASTER DATA'!A133:A432,'EMPLOYEE MASTER DATA'!F133:F432)</f>
        <v>84500</v>
      </c>
      <c r="F133" s="26">
        <f t="shared" ref="F133:F196" si="17">E133/24</f>
        <v>3520.8333333333335</v>
      </c>
      <c r="G133" s="4">
        <v>21</v>
      </c>
      <c r="H133" s="4">
        <f>_xlfn.XLOOKUP(A133,'MONTHLY ATTENDANCE SUMMARY'!A132:A431,'MONTHLY ATTENDANCE SUMMARY'!F132:F431)</f>
        <v>2</v>
      </c>
      <c r="I133" s="4">
        <f t="shared" ref="I133:I196" si="18">MIN(H133,1)</f>
        <v>1</v>
      </c>
      <c r="J133" s="4">
        <f t="shared" ref="J133:J196" si="19">MAX(H133-1,0)</f>
        <v>1</v>
      </c>
      <c r="K133" s="26">
        <f t="shared" ref="K133:K196" si="20">F133*(G133+I133+(J133*0.5))</f>
        <v>79218.75</v>
      </c>
      <c r="L133" s="26">
        <f t="shared" si="16"/>
        <v>10140</v>
      </c>
      <c r="M133" s="26">
        <f t="shared" ref="M133:M196" si="21">IF(K133&gt;=21000,200,0)</f>
        <v>200</v>
      </c>
      <c r="N133" s="26">
        <f t="shared" ref="N133:N196" si="22">IF(K133&lt;=21000,K133*0.75%,0)</f>
        <v>0</v>
      </c>
      <c r="O133" s="27">
        <f t="shared" ref="O133:O196" si="23">K133-SUM(L133:N133)</f>
        <v>68878.75</v>
      </c>
    </row>
    <row r="134" spans="1:15" x14ac:dyDescent="0.3">
      <c r="A134" s="10" t="str">
        <v>EMP131</v>
      </c>
      <c r="B134" s="4" t="str">
        <v>Yuvaraj B</v>
      </c>
      <c r="C134" s="4" t="str">
        <f>_xlfn.XLOOKUP(A134,'EMPLOYEE MASTER DATA'!A134:A433,'EMPLOYEE MASTER DATA'!D134:D433)</f>
        <v>Sales</v>
      </c>
      <c r="D134" s="4" t="str">
        <f>_xlfn.XLOOKUP(A134,'EMPLOYEE MASTER DATA'!A134:A433,'EMPLOYEE MASTER DATA'!E134:E433)</f>
        <v>Senior Sales Executive</v>
      </c>
      <c r="E134" s="26">
        <f>_xlfn.XLOOKUP(A134,'EMPLOYEE MASTER DATA'!A134:A433,'EMPLOYEE MASTER DATA'!F134:F433)</f>
        <v>36000</v>
      </c>
      <c r="F134" s="26">
        <f t="shared" si="17"/>
        <v>1500</v>
      </c>
      <c r="G134" s="4">
        <v>22</v>
      </c>
      <c r="H134" s="4">
        <f>_xlfn.XLOOKUP(A134,'MONTHLY ATTENDANCE SUMMARY'!A133:A432,'MONTHLY ATTENDANCE SUMMARY'!F133:F432)</f>
        <v>1</v>
      </c>
      <c r="I134" s="4">
        <f t="shared" si="18"/>
        <v>1</v>
      </c>
      <c r="J134" s="4">
        <f t="shared" si="19"/>
        <v>0</v>
      </c>
      <c r="K134" s="26">
        <f t="shared" si="20"/>
        <v>34500</v>
      </c>
      <c r="L134" s="26">
        <f t="shared" si="16"/>
        <v>4320</v>
      </c>
      <c r="M134" s="26">
        <f t="shared" si="21"/>
        <v>200</v>
      </c>
      <c r="N134" s="26">
        <f t="shared" si="22"/>
        <v>0</v>
      </c>
      <c r="O134" s="27">
        <f t="shared" si="23"/>
        <v>29980</v>
      </c>
    </row>
    <row r="135" spans="1:15" x14ac:dyDescent="0.3">
      <c r="A135" s="10" t="str">
        <v>EMP132</v>
      </c>
      <c r="B135" s="4" t="str">
        <v>Ganesh Raj</v>
      </c>
      <c r="C135" s="4" t="str">
        <f>_xlfn.XLOOKUP(A135,'EMPLOYEE MASTER DATA'!A135:A434,'EMPLOYEE MASTER DATA'!D135:D434)</f>
        <v>Business Development</v>
      </c>
      <c r="D135" s="4" t="str">
        <f>_xlfn.XLOOKUP(A135,'EMPLOYEE MASTER DATA'!A135:A434,'EMPLOYEE MASTER DATA'!E135:E434)</f>
        <v>Business Development Manager</v>
      </c>
      <c r="E135" s="26">
        <f>_xlfn.XLOOKUP(A135,'EMPLOYEE MASTER DATA'!A135:A434,'EMPLOYEE MASTER DATA'!F135:F434)</f>
        <v>55500</v>
      </c>
      <c r="F135" s="26">
        <f t="shared" si="17"/>
        <v>2312.5</v>
      </c>
      <c r="G135" s="4">
        <v>19</v>
      </c>
      <c r="H135" s="4">
        <f>_xlfn.XLOOKUP(A135,'MONTHLY ATTENDANCE SUMMARY'!A134:A433,'MONTHLY ATTENDANCE SUMMARY'!F134:F433)</f>
        <v>2</v>
      </c>
      <c r="I135" s="4">
        <f t="shared" si="18"/>
        <v>1</v>
      </c>
      <c r="J135" s="4">
        <f t="shared" si="19"/>
        <v>1</v>
      </c>
      <c r="K135" s="26">
        <f t="shared" si="20"/>
        <v>47406.25</v>
      </c>
      <c r="L135" s="26">
        <f t="shared" si="16"/>
        <v>6660</v>
      </c>
      <c r="M135" s="26">
        <f t="shared" si="21"/>
        <v>200</v>
      </c>
      <c r="N135" s="26">
        <f t="shared" si="22"/>
        <v>0</v>
      </c>
      <c r="O135" s="27">
        <f t="shared" si="23"/>
        <v>40546.25</v>
      </c>
    </row>
    <row r="136" spans="1:15" x14ac:dyDescent="0.3">
      <c r="A136" s="10" t="str">
        <v>EMP133</v>
      </c>
      <c r="B136" s="4" t="str">
        <v>Madhan Prasad</v>
      </c>
      <c r="C136" s="4" t="str">
        <f>_xlfn.XLOOKUP(A136,'EMPLOYEE MASTER DATA'!A136:A435,'EMPLOYEE MASTER DATA'!D136:D435)</f>
        <v>Maintenance</v>
      </c>
      <c r="D136" s="4" t="str">
        <f>_xlfn.XLOOKUP(A136,'EMPLOYEE MASTER DATA'!A136:A435,'EMPLOYEE MASTER DATA'!E136:E435)</f>
        <v>Mechanical Technician</v>
      </c>
      <c r="E136" s="26">
        <f>_xlfn.XLOOKUP(A136,'EMPLOYEE MASTER DATA'!A136:A435,'EMPLOYEE MASTER DATA'!F136:F435)</f>
        <v>28500</v>
      </c>
      <c r="F136" s="26">
        <f t="shared" si="17"/>
        <v>1187.5</v>
      </c>
      <c r="G136" s="4">
        <v>21</v>
      </c>
      <c r="H136" s="4">
        <f>_xlfn.XLOOKUP(A136,'MONTHLY ATTENDANCE SUMMARY'!A135:A434,'MONTHLY ATTENDANCE SUMMARY'!F135:F434)</f>
        <v>2</v>
      </c>
      <c r="I136" s="4">
        <f t="shared" si="18"/>
        <v>1</v>
      </c>
      <c r="J136" s="4">
        <f t="shared" si="19"/>
        <v>1</v>
      </c>
      <c r="K136" s="26">
        <f t="shared" si="20"/>
        <v>26718.75</v>
      </c>
      <c r="L136" s="26">
        <f t="shared" si="16"/>
        <v>3420</v>
      </c>
      <c r="M136" s="26">
        <f t="shared" si="21"/>
        <v>200</v>
      </c>
      <c r="N136" s="26">
        <f t="shared" si="22"/>
        <v>0</v>
      </c>
      <c r="O136" s="27">
        <f t="shared" si="23"/>
        <v>23098.75</v>
      </c>
    </row>
    <row r="137" spans="1:15" x14ac:dyDescent="0.3">
      <c r="A137" s="10" t="str">
        <v>EMP134</v>
      </c>
      <c r="B137" s="4" t="str">
        <v>Bharath Raj</v>
      </c>
      <c r="C137" s="4" t="str">
        <f>_xlfn.XLOOKUP(A137,'EMPLOYEE MASTER DATA'!A137:A436,'EMPLOYEE MASTER DATA'!D137:D436)</f>
        <v>Front Office</v>
      </c>
      <c r="D137" s="4" t="str">
        <f>_xlfn.XLOOKUP(A137,'EMPLOYEE MASTER DATA'!A137:A436,'EMPLOYEE MASTER DATA'!E137:E436)</f>
        <v>Front Office Executive</v>
      </c>
      <c r="E137" s="26">
        <f>_xlfn.XLOOKUP(A137,'EMPLOYEE MASTER DATA'!A137:A436,'EMPLOYEE MASTER DATA'!F137:F436)</f>
        <v>26000</v>
      </c>
      <c r="F137" s="26">
        <f t="shared" si="17"/>
        <v>1083.3333333333333</v>
      </c>
      <c r="G137" s="4">
        <v>22</v>
      </c>
      <c r="H137" s="4">
        <f>_xlfn.XLOOKUP(A137,'MONTHLY ATTENDANCE SUMMARY'!A136:A435,'MONTHLY ATTENDANCE SUMMARY'!F136:F435)</f>
        <v>1</v>
      </c>
      <c r="I137" s="4">
        <f t="shared" si="18"/>
        <v>1</v>
      </c>
      <c r="J137" s="4">
        <f t="shared" si="19"/>
        <v>0</v>
      </c>
      <c r="K137" s="26">
        <f t="shared" si="20"/>
        <v>24916.666666666664</v>
      </c>
      <c r="L137" s="26">
        <f t="shared" si="16"/>
        <v>3120</v>
      </c>
      <c r="M137" s="26">
        <f t="shared" si="21"/>
        <v>200</v>
      </c>
      <c r="N137" s="26">
        <f t="shared" si="22"/>
        <v>0</v>
      </c>
      <c r="O137" s="27">
        <f t="shared" si="23"/>
        <v>21596.666666666664</v>
      </c>
    </row>
    <row r="138" spans="1:15" x14ac:dyDescent="0.3">
      <c r="A138" s="10" t="str">
        <v>EMP135</v>
      </c>
      <c r="B138" s="4" t="str">
        <v>Manoj N</v>
      </c>
      <c r="C138" s="4" t="str">
        <f>_xlfn.XLOOKUP(A138,'EMPLOYEE MASTER DATA'!A138:A437,'EMPLOYEE MASTER DATA'!D138:D437)</f>
        <v>Procurement</v>
      </c>
      <c r="D138" s="4" t="str">
        <f>_xlfn.XLOOKUP(A138,'EMPLOYEE MASTER DATA'!A138:A437,'EMPLOYEE MASTER DATA'!E138:E437)</f>
        <v>Purchase Executive</v>
      </c>
      <c r="E138" s="26">
        <f>_xlfn.XLOOKUP(A138,'EMPLOYEE MASTER DATA'!A138:A437,'EMPLOYEE MASTER DATA'!F138:F437)</f>
        <v>33500</v>
      </c>
      <c r="F138" s="26">
        <f t="shared" si="17"/>
        <v>1395.8333333333333</v>
      </c>
      <c r="G138" s="4">
        <v>19</v>
      </c>
      <c r="H138" s="4">
        <f>_xlfn.XLOOKUP(A138,'MONTHLY ATTENDANCE SUMMARY'!A137:A436,'MONTHLY ATTENDANCE SUMMARY'!F137:F436)</f>
        <v>2</v>
      </c>
      <c r="I138" s="4">
        <f t="shared" si="18"/>
        <v>1</v>
      </c>
      <c r="J138" s="4">
        <f t="shared" si="19"/>
        <v>1</v>
      </c>
      <c r="K138" s="26">
        <f t="shared" si="20"/>
        <v>28614.583333333332</v>
      </c>
      <c r="L138" s="26">
        <f t="shared" si="16"/>
        <v>4020</v>
      </c>
      <c r="M138" s="26">
        <f t="shared" si="21"/>
        <v>200</v>
      </c>
      <c r="N138" s="26">
        <f t="shared" si="22"/>
        <v>0</v>
      </c>
      <c r="O138" s="27">
        <f t="shared" si="23"/>
        <v>24394.583333333332</v>
      </c>
    </row>
    <row r="139" spans="1:15" x14ac:dyDescent="0.3">
      <c r="A139" s="10" t="str">
        <v>EMP136</v>
      </c>
      <c r="B139" s="4" t="str">
        <v>Ashwin Raj</v>
      </c>
      <c r="C139" s="4" t="str">
        <f>_xlfn.XLOOKUP(A139,'EMPLOYEE MASTER DATA'!A139:A438,'EMPLOYEE MASTER DATA'!D139:D438)</f>
        <v>Business Development</v>
      </c>
      <c r="D139" s="4" t="str">
        <f>_xlfn.XLOOKUP(A139,'EMPLOYEE MASTER DATA'!A139:A438,'EMPLOYEE MASTER DATA'!E139:E438)</f>
        <v>Business Development Manager</v>
      </c>
      <c r="E139" s="26">
        <f>_xlfn.XLOOKUP(A139,'EMPLOYEE MASTER DATA'!A139:A438,'EMPLOYEE MASTER DATA'!F139:F438)</f>
        <v>68500</v>
      </c>
      <c r="F139" s="26">
        <f t="shared" si="17"/>
        <v>2854.1666666666665</v>
      </c>
      <c r="G139" s="4">
        <v>18</v>
      </c>
      <c r="H139" s="4">
        <f>_xlfn.XLOOKUP(A139,'MONTHLY ATTENDANCE SUMMARY'!A138:A437,'MONTHLY ATTENDANCE SUMMARY'!F138:F437)</f>
        <v>1</v>
      </c>
      <c r="I139" s="4">
        <f t="shared" si="18"/>
        <v>1</v>
      </c>
      <c r="J139" s="4">
        <f t="shared" si="19"/>
        <v>0</v>
      </c>
      <c r="K139" s="26">
        <f t="shared" si="20"/>
        <v>54229.166666666664</v>
      </c>
      <c r="L139" s="26">
        <f t="shared" si="16"/>
        <v>8220</v>
      </c>
      <c r="M139" s="26">
        <f t="shared" si="21"/>
        <v>200</v>
      </c>
      <c r="N139" s="26">
        <f t="shared" si="22"/>
        <v>0</v>
      </c>
      <c r="O139" s="27">
        <f t="shared" si="23"/>
        <v>45809.166666666664</v>
      </c>
    </row>
    <row r="140" spans="1:15" x14ac:dyDescent="0.3">
      <c r="A140" s="10" t="str">
        <v>EMP137</v>
      </c>
      <c r="B140" s="4" t="str">
        <v>Vignesh Kumar</v>
      </c>
      <c r="C140" s="4" t="str">
        <f>_xlfn.XLOOKUP(A140,'EMPLOYEE MASTER DATA'!A140:A439,'EMPLOYEE MASTER DATA'!D140:D439)</f>
        <v>Back End</v>
      </c>
      <c r="D140" s="4" t="str">
        <f>_xlfn.XLOOKUP(A140,'EMPLOYEE MASTER DATA'!A140:A439,'EMPLOYEE MASTER DATA'!E140:E439)</f>
        <v>Operations Manager</v>
      </c>
      <c r="E140" s="26">
        <f>_xlfn.XLOOKUP(A140,'EMPLOYEE MASTER DATA'!A140:A439,'EMPLOYEE MASTER DATA'!F140:F439)</f>
        <v>66500</v>
      </c>
      <c r="F140" s="26">
        <f t="shared" si="17"/>
        <v>2770.8333333333335</v>
      </c>
      <c r="G140" s="4">
        <v>18</v>
      </c>
      <c r="H140" s="4">
        <f>_xlfn.XLOOKUP(A140,'MONTHLY ATTENDANCE SUMMARY'!A139:A438,'MONTHLY ATTENDANCE SUMMARY'!F139:F438)</f>
        <v>2</v>
      </c>
      <c r="I140" s="4">
        <f t="shared" si="18"/>
        <v>1</v>
      </c>
      <c r="J140" s="4">
        <f t="shared" si="19"/>
        <v>1</v>
      </c>
      <c r="K140" s="26">
        <f t="shared" si="20"/>
        <v>54031.25</v>
      </c>
      <c r="L140" s="26">
        <f t="shared" si="16"/>
        <v>7980</v>
      </c>
      <c r="M140" s="26">
        <f t="shared" si="21"/>
        <v>200</v>
      </c>
      <c r="N140" s="26">
        <f t="shared" si="22"/>
        <v>0</v>
      </c>
      <c r="O140" s="27">
        <f t="shared" si="23"/>
        <v>45851.25</v>
      </c>
    </row>
    <row r="141" spans="1:15" x14ac:dyDescent="0.3">
      <c r="A141" s="10" t="str">
        <v>EMP138</v>
      </c>
      <c r="B141" s="4" t="str">
        <v>Aravind G</v>
      </c>
      <c r="C141" s="4" t="str">
        <f>_xlfn.XLOOKUP(A141,'EMPLOYEE MASTER DATA'!A141:A440,'EMPLOYEE MASTER DATA'!D141:D440)</f>
        <v>Sales</v>
      </c>
      <c r="D141" s="4" t="str">
        <f>_xlfn.XLOOKUP(A141,'EMPLOYEE MASTER DATA'!A141:A440,'EMPLOYEE MASTER DATA'!E141:E440)</f>
        <v>Area Sales Executive</v>
      </c>
      <c r="E141" s="26">
        <f>_xlfn.XLOOKUP(A141,'EMPLOYEE MASTER DATA'!A141:A440,'EMPLOYEE MASTER DATA'!F141:F440)</f>
        <v>31000</v>
      </c>
      <c r="F141" s="26">
        <f t="shared" si="17"/>
        <v>1291.6666666666667</v>
      </c>
      <c r="G141" s="4">
        <v>21</v>
      </c>
      <c r="H141" s="4">
        <f>_xlfn.XLOOKUP(A141,'MONTHLY ATTENDANCE SUMMARY'!A140:A439,'MONTHLY ATTENDANCE SUMMARY'!F140:F439)</f>
        <v>2</v>
      </c>
      <c r="I141" s="4">
        <f t="shared" si="18"/>
        <v>1</v>
      </c>
      <c r="J141" s="4">
        <f t="shared" si="19"/>
        <v>1</v>
      </c>
      <c r="K141" s="26">
        <f t="shared" si="20"/>
        <v>29062.5</v>
      </c>
      <c r="L141" s="26">
        <f t="shared" si="16"/>
        <v>3720</v>
      </c>
      <c r="M141" s="26">
        <f t="shared" si="21"/>
        <v>200</v>
      </c>
      <c r="N141" s="26">
        <f t="shared" si="22"/>
        <v>0</v>
      </c>
      <c r="O141" s="27">
        <f t="shared" si="23"/>
        <v>25142.5</v>
      </c>
    </row>
    <row r="142" spans="1:15" x14ac:dyDescent="0.3">
      <c r="A142" s="10" t="str">
        <v>EMP139</v>
      </c>
      <c r="B142" s="4" t="str">
        <v>Lokesh N</v>
      </c>
      <c r="C142" s="4" t="str">
        <f>_xlfn.XLOOKUP(A142,'EMPLOYEE MASTER DATA'!A142:A441,'EMPLOYEE MASTER DATA'!D142:D441)</f>
        <v>Front Office</v>
      </c>
      <c r="D142" s="4" t="str">
        <f>_xlfn.XLOOKUP(A142,'EMPLOYEE MASTER DATA'!A142:A441,'EMPLOYEE MASTER DATA'!E142:E441)</f>
        <v>Front Office Executive</v>
      </c>
      <c r="E142" s="26">
        <f>_xlfn.XLOOKUP(A142,'EMPLOYEE MASTER DATA'!A142:A441,'EMPLOYEE MASTER DATA'!F142:F441)</f>
        <v>24000</v>
      </c>
      <c r="F142" s="26">
        <f t="shared" si="17"/>
        <v>1000</v>
      </c>
      <c r="G142" s="4">
        <v>20</v>
      </c>
      <c r="H142" s="4">
        <f>_xlfn.XLOOKUP(A142,'MONTHLY ATTENDANCE SUMMARY'!A141:A440,'MONTHLY ATTENDANCE SUMMARY'!F141:F440)</f>
        <v>1</v>
      </c>
      <c r="I142" s="4">
        <f t="shared" si="18"/>
        <v>1</v>
      </c>
      <c r="J142" s="4">
        <f t="shared" si="19"/>
        <v>0</v>
      </c>
      <c r="K142" s="26">
        <f t="shared" si="20"/>
        <v>21000</v>
      </c>
      <c r="L142" s="26">
        <f t="shared" si="16"/>
        <v>2880</v>
      </c>
      <c r="M142" s="26">
        <f t="shared" si="21"/>
        <v>200</v>
      </c>
      <c r="N142" s="26">
        <f t="shared" si="22"/>
        <v>157.5</v>
      </c>
      <c r="O142" s="27">
        <f t="shared" si="23"/>
        <v>17762.5</v>
      </c>
    </row>
    <row r="143" spans="1:15" x14ac:dyDescent="0.3">
      <c r="A143" s="10" t="str">
        <v>EMP140</v>
      </c>
      <c r="B143" s="4" t="str">
        <v>Sathish S</v>
      </c>
      <c r="C143" s="4" t="str">
        <f>_xlfn.XLOOKUP(A143,'EMPLOYEE MASTER DATA'!A143:A442,'EMPLOYEE MASTER DATA'!D143:D442)</f>
        <v>Business Development</v>
      </c>
      <c r="D143" s="4" t="str">
        <f>_xlfn.XLOOKUP(A143,'EMPLOYEE MASTER DATA'!A143:A442,'EMPLOYEE MASTER DATA'!E143:E442)</f>
        <v>Corporate Sales Executive</v>
      </c>
      <c r="E143" s="26">
        <f>_xlfn.XLOOKUP(A143,'EMPLOYEE MASTER DATA'!A143:A442,'EMPLOYEE MASTER DATA'!F143:F442)</f>
        <v>44000</v>
      </c>
      <c r="F143" s="26">
        <f t="shared" si="17"/>
        <v>1833.3333333333333</v>
      </c>
      <c r="G143" s="4">
        <v>15</v>
      </c>
      <c r="H143" s="4">
        <f>_xlfn.XLOOKUP(A143,'MONTHLY ATTENDANCE SUMMARY'!A142:A441,'MONTHLY ATTENDANCE SUMMARY'!F142:F441)</f>
        <v>2</v>
      </c>
      <c r="I143" s="4">
        <f t="shared" si="18"/>
        <v>1</v>
      </c>
      <c r="J143" s="4">
        <f t="shared" si="19"/>
        <v>1</v>
      </c>
      <c r="K143" s="26">
        <f t="shared" si="20"/>
        <v>30250</v>
      </c>
      <c r="L143" s="26">
        <f t="shared" si="16"/>
        <v>5280</v>
      </c>
      <c r="M143" s="26">
        <f t="shared" si="21"/>
        <v>200</v>
      </c>
      <c r="N143" s="26">
        <f t="shared" si="22"/>
        <v>0</v>
      </c>
      <c r="O143" s="27">
        <f t="shared" si="23"/>
        <v>24770</v>
      </c>
    </row>
    <row r="144" spans="1:15" x14ac:dyDescent="0.3">
      <c r="A144" s="10" t="str">
        <v>EMP141</v>
      </c>
      <c r="B144" s="4" t="str">
        <v>Saravanan Raja</v>
      </c>
      <c r="C144" s="4" t="str">
        <f>_xlfn.XLOOKUP(A144,'EMPLOYEE MASTER DATA'!A144:A443,'EMPLOYEE MASTER DATA'!D144:D443)</f>
        <v>Front Office</v>
      </c>
      <c r="D144" s="4" t="str">
        <f>_xlfn.XLOOKUP(A144,'EMPLOYEE MASTER DATA'!A144:A443,'EMPLOYEE MASTER DATA'!E144:E443)</f>
        <v>Receptionist</v>
      </c>
      <c r="E144" s="26">
        <f>_xlfn.XLOOKUP(A144,'EMPLOYEE MASTER DATA'!A144:A443,'EMPLOYEE MASTER DATA'!F144:F443)</f>
        <v>19500</v>
      </c>
      <c r="F144" s="26">
        <f t="shared" si="17"/>
        <v>812.5</v>
      </c>
      <c r="G144" s="4">
        <v>21</v>
      </c>
      <c r="H144" s="4">
        <f>_xlfn.XLOOKUP(A144,'MONTHLY ATTENDANCE SUMMARY'!A143:A442,'MONTHLY ATTENDANCE SUMMARY'!F143:F442)</f>
        <v>1</v>
      </c>
      <c r="I144" s="4">
        <f t="shared" si="18"/>
        <v>1</v>
      </c>
      <c r="J144" s="4">
        <f t="shared" si="19"/>
        <v>0</v>
      </c>
      <c r="K144" s="26">
        <f t="shared" si="20"/>
        <v>17875</v>
      </c>
      <c r="L144" s="26">
        <f t="shared" si="16"/>
        <v>2340</v>
      </c>
      <c r="M144" s="26">
        <f t="shared" si="21"/>
        <v>0</v>
      </c>
      <c r="N144" s="26">
        <f t="shared" si="22"/>
        <v>134.0625</v>
      </c>
      <c r="O144" s="27">
        <f t="shared" si="23"/>
        <v>15400.9375</v>
      </c>
    </row>
    <row r="145" spans="1:15" x14ac:dyDescent="0.3">
      <c r="A145" s="10" t="str">
        <v>EMP142</v>
      </c>
      <c r="B145" s="4" t="str">
        <v>Karthik Raj</v>
      </c>
      <c r="C145" s="4" t="str">
        <f>_xlfn.XLOOKUP(A145,'EMPLOYEE MASTER DATA'!A145:A444,'EMPLOYEE MASTER DATA'!D145:D444)</f>
        <v>Customer Relationship</v>
      </c>
      <c r="D145" s="4" t="str">
        <f>_xlfn.XLOOKUP(A145,'EMPLOYEE MASTER DATA'!A145:A444,'EMPLOYEE MASTER DATA'!E145:E444)</f>
        <v>Customer Service Executive</v>
      </c>
      <c r="E145" s="26">
        <f>_xlfn.XLOOKUP(A145,'EMPLOYEE MASTER DATA'!A145:A444,'EMPLOYEE MASTER DATA'!F145:F444)</f>
        <v>25500</v>
      </c>
      <c r="F145" s="26">
        <f t="shared" si="17"/>
        <v>1062.5</v>
      </c>
      <c r="G145" s="4">
        <v>20</v>
      </c>
      <c r="H145" s="4">
        <f>_xlfn.XLOOKUP(A145,'MONTHLY ATTENDANCE SUMMARY'!A144:A443,'MONTHLY ATTENDANCE SUMMARY'!F144:F443)</f>
        <v>2</v>
      </c>
      <c r="I145" s="4">
        <f t="shared" si="18"/>
        <v>1</v>
      </c>
      <c r="J145" s="4">
        <f t="shared" si="19"/>
        <v>1</v>
      </c>
      <c r="K145" s="26">
        <f t="shared" si="20"/>
        <v>22843.75</v>
      </c>
      <c r="L145" s="26">
        <f t="shared" si="16"/>
        <v>3060</v>
      </c>
      <c r="M145" s="26">
        <f t="shared" si="21"/>
        <v>200</v>
      </c>
      <c r="N145" s="26">
        <f t="shared" si="22"/>
        <v>0</v>
      </c>
      <c r="O145" s="27">
        <f t="shared" si="23"/>
        <v>19583.75</v>
      </c>
    </row>
    <row r="146" spans="1:15" x14ac:dyDescent="0.3">
      <c r="A146" s="10" t="str">
        <v>EMP143</v>
      </c>
      <c r="B146" s="4" t="str">
        <v>Mohan G</v>
      </c>
      <c r="C146" s="4" t="str">
        <f>_xlfn.XLOOKUP(A146,'EMPLOYEE MASTER DATA'!A146:A445,'EMPLOYEE MASTER DATA'!D146:D445)</f>
        <v>Business Development</v>
      </c>
      <c r="D146" s="4" t="str">
        <f>_xlfn.XLOOKUP(A146,'EMPLOYEE MASTER DATA'!A146:A445,'EMPLOYEE MASTER DATA'!E146:E445)</f>
        <v>Corporate Sales Executive</v>
      </c>
      <c r="E146" s="26">
        <f>_xlfn.XLOOKUP(A146,'EMPLOYEE MASTER DATA'!A146:A445,'EMPLOYEE MASTER DATA'!F146:F445)</f>
        <v>47000</v>
      </c>
      <c r="F146" s="26">
        <f t="shared" si="17"/>
        <v>1958.3333333333333</v>
      </c>
      <c r="G146" s="4">
        <v>21</v>
      </c>
      <c r="H146" s="4">
        <f>_xlfn.XLOOKUP(A146,'MONTHLY ATTENDANCE SUMMARY'!A145:A444,'MONTHLY ATTENDANCE SUMMARY'!F145:F444)</f>
        <v>1</v>
      </c>
      <c r="I146" s="4">
        <f t="shared" si="18"/>
        <v>1</v>
      </c>
      <c r="J146" s="4">
        <f t="shared" si="19"/>
        <v>0</v>
      </c>
      <c r="K146" s="26">
        <f t="shared" si="20"/>
        <v>43083.333333333328</v>
      </c>
      <c r="L146" s="26">
        <f t="shared" si="16"/>
        <v>5640</v>
      </c>
      <c r="M146" s="26">
        <f t="shared" si="21"/>
        <v>200</v>
      </c>
      <c r="N146" s="26">
        <f t="shared" si="22"/>
        <v>0</v>
      </c>
      <c r="O146" s="27">
        <f t="shared" si="23"/>
        <v>37243.333333333328</v>
      </c>
    </row>
    <row r="147" spans="1:15" x14ac:dyDescent="0.3">
      <c r="A147" s="10" t="str">
        <v>EMP144</v>
      </c>
      <c r="B147" s="4" t="str">
        <v>Ramesh N</v>
      </c>
      <c r="C147" s="4" t="str">
        <f>_xlfn.XLOOKUP(A147,'EMPLOYEE MASTER DATA'!A147:A446,'EMPLOYEE MASTER DATA'!D147:D446)</f>
        <v>Back End</v>
      </c>
      <c r="D147" s="4" t="str">
        <f>_xlfn.XLOOKUP(A147,'EMPLOYEE MASTER DATA'!A147:A446,'EMPLOYEE MASTER DATA'!E147:E446)</f>
        <v>Documentation Executive</v>
      </c>
      <c r="E147" s="26">
        <f>_xlfn.XLOOKUP(A147,'EMPLOYEE MASTER DATA'!A147:A446,'EMPLOYEE MASTER DATA'!F147:F446)</f>
        <v>26000</v>
      </c>
      <c r="F147" s="26">
        <f t="shared" si="17"/>
        <v>1083.3333333333333</v>
      </c>
      <c r="G147" s="4">
        <v>18</v>
      </c>
      <c r="H147" s="4">
        <f>_xlfn.XLOOKUP(A147,'MONTHLY ATTENDANCE SUMMARY'!A146:A445,'MONTHLY ATTENDANCE SUMMARY'!F146:F445)</f>
        <v>1</v>
      </c>
      <c r="I147" s="4">
        <f t="shared" si="18"/>
        <v>1</v>
      </c>
      <c r="J147" s="4">
        <f t="shared" si="19"/>
        <v>0</v>
      </c>
      <c r="K147" s="26">
        <f t="shared" si="20"/>
        <v>20583.333333333332</v>
      </c>
      <c r="L147" s="26">
        <f t="shared" si="16"/>
        <v>3120</v>
      </c>
      <c r="M147" s="26">
        <f t="shared" si="21"/>
        <v>0</v>
      </c>
      <c r="N147" s="26">
        <f t="shared" si="22"/>
        <v>154.37499999999997</v>
      </c>
      <c r="O147" s="27">
        <f t="shared" si="23"/>
        <v>17308.958333333332</v>
      </c>
    </row>
    <row r="148" spans="1:15" x14ac:dyDescent="0.3">
      <c r="A148" s="10" t="str">
        <v>EMP145</v>
      </c>
      <c r="B148" s="4" t="str">
        <v>Naveen N</v>
      </c>
      <c r="C148" s="4" t="str">
        <f>_xlfn.XLOOKUP(A148,'EMPLOYEE MASTER DATA'!A148:A447,'EMPLOYEE MASTER DATA'!D148:D447)</f>
        <v>Maintenance</v>
      </c>
      <c r="D148" s="4" t="str">
        <f>_xlfn.XLOOKUP(A148,'EMPLOYEE MASTER DATA'!A148:A447,'EMPLOYEE MASTER DATA'!E148:E447)</f>
        <v>Electrical Technician</v>
      </c>
      <c r="E148" s="26">
        <f>_xlfn.XLOOKUP(A148,'EMPLOYEE MASTER DATA'!A148:A447,'EMPLOYEE MASTER DATA'!F148:F447)</f>
        <v>31500</v>
      </c>
      <c r="F148" s="26">
        <f t="shared" si="17"/>
        <v>1312.5</v>
      </c>
      <c r="G148" s="4">
        <v>18</v>
      </c>
      <c r="H148" s="4">
        <f>_xlfn.XLOOKUP(A148,'MONTHLY ATTENDANCE SUMMARY'!A147:A446,'MONTHLY ATTENDANCE SUMMARY'!F147:F446)</f>
        <v>2</v>
      </c>
      <c r="I148" s="4">
        <f t="shared" si="18"/>
        <v>1</v>
      </c>
      <c r="J148" s="4">
        <f t="shared" si="19"/>
        <v>1</v>
      </c>
      <c r="K148" s="26">
        <f t="shared" si="20"/>
        <v>25593.75</v>
      </c>
      <c r="L148" s="26">
        <f t="shared" si="16"/>
        <v>3780</v>
      </c>
      <c r="M148" s="26">
        <f t="shared" si="21"/>
        <v>200</v>
      </c>
      <c r="N148" s="26">
        <f t="shared" si="22"/>
        <v>0</v>
      </c>
      <c r="O148" s="27">
        <f t="shared" si="23"/>
        <v>21613.75</v>
      </c>
    </row>
    <row r="149" spans="1:15" x14ac:dyDescent="0.3">
      <c r="A149" s="10" t="str">
        <v>EMP146</v>
      </c>
      <c r="B149" s="4" t="str">
        <v>Dinesh Kannan</v>
      </c>
      <c r="C149" s="4" t="str">
        <f>_xlfn.XLOOKUP(A149,'EMPLOYEE MASTER DATA'!A149:A448,'EMPLOYEE MASTER DATA'!D149:D448)</f>
        <v>Back End</v>
      </c>
      <c r="D149" s="4" t="str">
        <f>_xlfn.XLOOKUP(A149,'EMPLOYEE MASTER DATA'!A149:A448,'EMPLOYEE MASTER DATA'!E149:E448)</f>
        <v>Documentation Executive</v>
      </c>
      <c r="E149" s="26">
        <f>_xlfn.XLOOKUP(A149,'EMPLOYEE MASTER DATA'!A149:A448,'EMPLOYEE MASTER DATA'!F149:F448)</f>
        <v>25000</v>
      </c>
      <c r="F149" s="26">
        <f t="shared" si="17"/>
        <v>1041.6666666666667</v>
      </c>
      <c r="G149" s="4">
        <v>22</v>
      </c>
      <c r="H149" s="4">
        <f>_xlfn.XLOOKUP(A149,'MONTHLY ATTENDANCE SUMMARY'!A148:A447,'MONTHLY ATTENDANCE SUMMARY'!F148:F447)</f>
        <v>2</v>
      </c>
      <c r="I149" s="4">
        <f t="shared" si="18"/>
        <v>1</v>
      </c>
      <c r="J149" s="4">
        <f t="shared" si="19"/>
        <v>1</v>
      </c>
      <c r="K149" s="26">
        <f t="shared" si="20"/>
        <v>24479.166666666668</v>
      </c>
      <c r="L149" s="26">
        <f t="shared" si="16"/>
        <v>3000</v>
      </c>
      <c r="M149" s="26">
        <f t="shared" si="21"/>
        <v>200</v>
      </c>
      <c r="N149" s="26">
        <f t="shared" si="22"/>
        <v>0</v>
      </c>
      <c r="O149" s="27">
        <f t="shared" si="23"/>
        <v>21279.166666666668</v>
      </c>
    </row>
    <row r="150" spans="1:15" x14ac:dyDescent="0.3">
      <c r="A150" s="10" t="str">
        <v>EMP147</v>
      </c>
      <c r="B150" s="4" t="str">
        <v>Vinoth Krishnan</v>
      </c>
      <c r="C150" s="4" t="str">
        <f>_xlfn.XLOOKUP(A150,'EMPLOYEE MASTER DATA'!A150:A449,'EMPLOYEE MASTER DATA'!D150:D449)</f>
        <v>Sales</v>
      </c>
      <c r="D150" s="4" t="str">
        <f>_xlfn.XLOOKUP(A150,'EMPLOYEE MASTER DATA'!A150:A449,'EMPLOYEE MASTER DATA'!E150:E449)</f>
        <v>Sales Executive</v>
      </c>
      <c r="E150" s="26">
        <f>_xlfn.XLOOKUP(A150,'EMPLOYEE MASTER DATA'!A150:A449,'EMPLOYEE MASTER DATA'!F150:F449)</f>
        <v>29500</v>
      </c>
      <c r="F150" s="26">
        <f t="shared" si="17"/>
        <v>1229.1666666666667</v>
      </c>
      <c r="G150" s="4">
        <v>22</v>
      </c>
      <c r="H150" s="4">
        <f>_xlfn.XLOOKUP(A150,'MONTHLY ATTENDANCE SUMMARY'!A149:A448,'MONTHLY ATTENDANCE SUMMARY'!F149:F448)</f>
        <v>2</v>
      </c>
      <c r="I150" s="4">
        <f t="shared" si="18"/>
        <v>1</v>
      </c>
      <c r="J150" s="4">
        <f t="shared" si="19"/>
        <v>1</v>
      </c>
      <c r="K150" s="26">
        <f t="shared" si="20"/>
        <v>28885.416666666668</v>
      </c>
      <c r="L150" s="26">
        <f t="shared" si="16"/>
        <v>3540</v>
      </c>
      <c r="M150" s="26">
        <f t="shared" si="21"/>
        <v>200</v>
      </c>
      <c r="N150" s="26">
        <f t="shared" si="22"/>
        <v>0</v>
      </c>
      <c r="O150" s="27">
        <f t="shared" si="23"/>
        <v>25145.416666666668</v>
      </c>
    </row>
    <row r="151" spans="1:15" x14ac:dyDescent="0.3">
      <c r="A151" s="10" t="str">
        <v>EMP148</v>
      </c>
      <c r="B151" s="4" t="str">
        <v>Bharath Kannan</v>
      </c>
      <c r="C151" s="4" t="str">
        <f>_xlfn.XLOOKUP(A151,'EMPLOYEE MASTER DATA'!A151:A450,'EMPLOYEE MASTER DATA'!D151:D450)</f>
        <v>Production</v>
      </c>
      <c r="D151" s="4" t="str">
        <f>_xlfn.XLOOKUP(A151,'EMPLOYEE MASTER DATA'!A151:A450,'EMPLOYEE MASTER DATA'!E151:E450)</f>
        <v>Production Manager</v>
      </c>
      <c r="E151" s="26">
        <f>_xlfn.XLOOKUP(A151,'EMPLOYEE MASTER DATA'!A151:A450,'EMPLOYEE MASTER DATA'!F151:F450)</f>
        <v>89500</v>
      </c>
      <c r="F151" s="26">
        <f t="shared" si="17"/>
        <v>3729.1666666666665</v>
      </c>
      <c r="G151" s="4">
        <v>21</v>
      </c>
      <c r="H151" s="4">
        <f>_xlfn.XLOOKUP(A151,'MONTHLY ATTENDANCE SUMMARY'!A150:A449,'MONTHLY ATTENDANCE SUMMARY'!F150:F449)</f>
        <v>2</v>
      </c>
      <c r="I151" s="4">
        <f t="shared" si="18"/>
        <v>1</v>
      </c>
      <c r="J151" s="4">
        <f t="shared" si="19"/>
        <v>1</v>
      </c>
      <c r="K151" s="26">
        <f t="shared" si="20"/>
        <v>83906.25</v>
      </c>
      <c r="L151" s="26">
        <f t="shared" si="16"/>
        <v>10740</v>
      </c>
      <c r="M151" s="26">
        <f t="shared" si="21"/>
        <v>200</v>
      </c>
      <c r="N151" s="26">
        <f t="shared" si="22"/>
        <v>0</v>
      </c>
      <c r="O151" s="27">
        <f t="shared" si="23"/>
        <v>72966.25</v>
      </c>
    </row>
    <row r="152" spans="1:15" x14ac:dyDescent="0.3">
      <c r="A152" s="10" t="str">
        <v>EMP149</v>
      </c>
      <c r="B152" s="4" t="str">
        <v>Vinoth Narayanan</v>
      </c>
      <c r="C152" s="4" t="str">
        <f>_xlfn.XLOOKUP(A152,'EMPLOYEE MASTER DATA'!A152:A451,'EMPLOYEE MASTER DATA'!D152:D451)</f>
        <v>Admin</v>
      </c>
      <c r="D152" s="4" t="str">
        <f>_xlfn.XLOOKUP(A152,'EMPLOYEE MASTER DATA'!A152:A451,'EMPLOYEE MASTER DATA'!E152:E451)</f>
        <v>Admin Executive</v>
      </c>
      <c r="E152" s="26">
        <f>_xlfn.XLOOKUP(A152,'EMPLOYEE MASTER DATA'!A152:A451,'EMPLOYEE MASTER DATA'!F152:F451)</f>
        <v>24000</v>
      </c>
      <c r="F152" s="26">
        <f t="shared" si="17"/>
        <v>1000</v>
      </c>
      <c r="G152" s="4">
        <v>18</v>
      </c>
      <c r="H152" s="4">
        <f>_xlfn.XLOOKUP(A152,'MONTHLY ATTENDANCE SUMMARY'!A151:A450,'MONTHLY ATTENDANCE SUMMARY'!F151:F450)</f>
        <v>2</v>
      </c>
      <c r="I152" s="4">
        <f t="shared" si="18"/>
        <v>1</v>
      </c>
      <c r="J152" s="4">
        <f t="shared" si="19"/>
        <v>1</v>
      </c>
      <c r="K152" s="26">
        <f t="shared" si="20"/>
        <v>19500</v>
      </c>
      <c r="L152" s="26">
        <f t="shared" si="16"/>
        <v>2880</v>
      </c>
      <c r="M152" s="26">
        <f t="shared" si="21"/>
        <v>0</v>
      </c>
      <c r="N152" s="26">
        <f t="shared" si="22"/>
        <v>146.25</v>
      </c>
      <c r="O152" s="27">
        <f t="shared" si="23"/>
        <v>16473.75</v>
      </c>
    </row>
    <row r="153" spans="1:15" x14ac:dyDescent="0.3">
      <c r="A153" s="10" t="str">
        <v>EMP150</v>
      </c>
      <c r="B153" s="4" t="str">
        <v>Mohan V</v>
      </c>
      <c r="C153" s="4" t="str">
        <f>_xlfn.XLOOKUP(A153,'EMPLOYEE MASTER DATA'!A153:A452,'EMPLOYEE MASTER DATA'!D153:D452)</f>
        <v>Procurement</v>
      </c>
      <c r="D153" s="4" t="str">
        <f>_xlfn.XLOOKUP(A153,'EMPLOYEE MASTER DATA'!A153:A452,'EMPLOYEE MASTER DATA'!E153:E452)</f>
        <v>Procurement Manager</v>
      </c>
      <c r="E153" s="26">
        <f>_xlfn.XLOOKUP(A153,'EMPLOYEE MASTER DATA'!A153:A452,'EMPLOYEE MASTER DATA'!F153:F452)</f>
        <v>62000</v>
      </c>
      <c r="F153" s="26">
        <f t="shared" si="17"/>
        <v>2583.3333333333335</v>
      </c>
      <c r="G153" s="4">
        <v>22</v>
      </c>
      <c r="H153" s="4">
        <f>_xlfn.XLOOKUP(A153,'MONTHLY ATTENDANCE SUMMARY'!A152:A451,'MONTHLY ATTENDANCE SUMMARY'!F152:F451)</f>
        <v>1</v>
      </c>
      <c r="I153" s="4">
        <f t="shared" si="18"/>
        <v>1</v>
      </c>
      <c r="J153" s="4">
        <f t="shared" si="19"/>
        <v>0</v>
      </c>
      <c r="K153" s="26">
        <f t="shared" si="20"/>
        <v>59416.666666666672</v>
      </c>
      <c r="L153" s="26">
        <f t="shared" si="16"/>
        <v>7440</v>
      </c>
      <c r="M153" s="26">
        <f t="shared" si="21"/>
        <v>200</v>
      </c>
      <c r="N153" s="26">
        <f t="shared" si="22"/>
        <v>0</v>
      </c>
      <c r="O153" s="27">
        <f t="shared" si="23"/>
        <v>51776.666666666672</v>
      </c>
    </row>
    <row r="154" spans="1:15" x14ac:dyDescent="0.3">
      <c r="A154" s="10" t="str">
        <v>EMP151</v>
      </c>
      <c r="B154" s="4" t="str">
        <v>Rahul R</v>
      </c>
      <c r="C154" s="4" t="str">
        <f>_xlfn.XLOOKUP(A154,'EMPLOYEE MASTER DATA'!A154:A453,'EMPLOYEE MASTER DATA'!D154:D453)</f>
        <v>Procurement</v>
      </c>
      <c r="D154" s="4" t="str">
        <f>_xlfn.XLOOKUP(A154,'EMPLOYEE MASTER DATA'!A154:A453,'EMPLOYEE MASTER DATA'!E154:E453)</f>
        <v>Sourcing Executive</v>
      </c>
      <c r="E154" s="26">
        <f>_xlfn.XLOOKUP(A154,'EMPLOYEE MASTER DATA'!A154:A453,'EMPLOYEE MASTER DATA'!F154:F453)</f>
        <v>35000</v>
      </c>
      <c r="F154" s="26">
        <f t="shared" si="17"/>
        <v>1458.3333333333333</v>
      </c>
      <c r="G154" s="4">
        <v>22</v>
      </c>
      <c r="H154" s="4">
        <f>_xlfn.XLOOKUP(A154,'MONTHLY ATTENDANCE SUMMARY'!A153:A452,'MONTHLY ATTENDANCE SUMMARY'!F153:F452)</f>
        <v>2</v>
      </c>
      <c r="I154" s="4">
        <f t="shared" si="18"/>
        <v>1</v>
      </c>
      <c r="J154" s="4">
        <f t="shared" si="19"/>
        <v>1</v>
      </c>
      <c r="K154" s="26">
        <f t="shared" si="20"/>
        <v>34270.833333333328</v>
      </c>
      <c r="L154" s="26">
        <f t="shared" si="16"/>
        <v>4200</v>
      </c>
      <c r="M154" s="26">
        <f t="shared" si="21"/>
        <v>200</v>
      </c>
      <c r="N154" s="26">
        <f t="shared" si="22"/>
        <v>0</v>
      </c>
      <c r="O154" s="27">
        <f t="shared" si="23"/>
        <v>29870.833333333328</v>
      </c>
    </row>
    <row r="155" spans="1:15" x14ac:dyDescent="0.3">
      <c r="A155" s="10" t="str">
        <v>EMP152</v>
      </c>
      <c r="B155" s="4" t="str">
        <v>Harish R</v>
      </c>
      <c r="C155" s="4" t="str">
        <f>_xlfn.XLOOKUP(A155,'EMPLOYEE MASTER DATA'!A155:A454,'EMPLOYEE MASTER DATA'!D155:D454)</f>
        <v>Production</v>
      </c>
      <c r="D155" s="4" t="str">
        <f>_xlfn.XLOOKUP(A155,'EMPLOYEE MASTER DATA'!A155:A454,'EMPLOYEE MASTER DATA'!E155:E454)</f>
        <v>Production Manager</v>
      </c>
      <c r="E155" s="26">
        <f>_xlfn.XLOOKUP(A155,'EMPLOYEE MASTER DATA'!A155:A454,'EMPLOYEE MASTER DATA'!F155:F454)</f>
        <v>62000</v>
      </c>
      <c r="F155" s="26">
        <f t="shared" si="17"/>
        <v>2583.3333333333335</v>
      </c>
      <c r="G155" s="4">
        <v>21</v>
      </c>
      <c r="H155" s="4">
        <f>_xlfn.XLOOKUP(A155,'MONTHLY ATTENDANCE SUMMARY'!A154:A453,'MONTHLY ATTENDANCE SUMMARY'!F154:F453)</f>
        <v>2</v>
      </c>
      <c r="I155" s="4">
        <f t="shared" si="18"/>
        <v>1</v>
      </c>
      <c r="J155" s="4">
        <f t="shared" si="19"/>
        <v>1</v>
      </c>
      <c r="K155" s="26">
        <f t="shared" si="20"/>
        <v>58125</v>
      </c>
      <c r="L155" s="26">
        <f t="shared" si="16"/>
        <v>7440</v>
      </c>
      <c r="M155" s="26">
        <f t="shared" si="21"/>
        <v>200</v>
      </c>
      <c r="N155" s="26">
        <f t="shared" si="22"/>
        <v>0</v>
      </c>
      <c r="O155" s="27">
        <f t="shared" si="23"/>
        <v>50485</v>
      </c>
    </row>
    <row r="156" spans="1:15" x14ac:dyDescent="0.3">
      <c r="A156" s="10" t="str">
        <v>EMP153</v>
      </c>
      <c r="B156" s="4" t="str">
        <v>Ganesh M</v>
      </c>
      <c r="C156" s="4" t="str">
        <f>_xlfn.XLOOKUP(A156,'EMPLOYEE MASTER DATA'!A156:A455,'EMPLOYEE MASTER DATA'!D156:D455)</f>
        <v>Sales</v>
      </c>
      <c r="D156" s="4" t="str">
        <f>_xlfn.XLOOKUP(A156,'EMPLOYEE MASTER DATA'!A156:A455,'EMPLOYEE MASTER DATA'!E156:E455)</f>
        <v>Area Sales Executive</v>
      </c>
      <c r="E156" s="26">
        <f>_xlfn.XLOOKUP(A156,'EMPLOYEE MASTER DATA'!A156:A455,'EMPLOYEE MASTER DATA'!F156:F455)</f>
        <v>35000</v>
      </c>
      <c r="F156" s="26">
        <f t="shared" si="17"/>
        <v>1458.3333333333333</v>
      </c>
      <c r="G156" s="4">
        <v>21</v>
      </c>
      <c r="H156" s="4">
        <f>_xlfn.XLOOKUP(A156,'MONTHLY ATTENDANCE SUMMARY'!A155:A454,'MONTHLY ATTENDANCE SUMMARY'!F155:F454)</f>
        <v>1</v>
      </c>
      <c r="I156" s="4">
        <f t="shared" si="18"/>
        <v>1</v>
      </c>
      <c r="J156" s="4">
        <f t="shared" si="19"/>
        <v>0</v>
      </c>
      <c r="K156" s="26">
        <f t="shared" si="20"/>
        <v>32083.333333333332</v>
      </c>
      <c r="L156" s="26">
        <f t="shared" si="16"/>
        <v>4200</v>
      </c>
      <c r="M156" s="26">
        <f t="shared" si="21"/>
        <v>200</v>
      </c>
      <c r="N156" s="26">
        <f t="shared" si="22"/>
        <v>0</v>
      </c>
      <c r="O156" s="27">
        <f t="shared" si="23"/>
        <v>27683.333333333332</v>
      </c>
    </row>
    <row r="157" spans="1:15" x14ac:dyDescent="0.3">
      <c r="A157" s="10" t="str">
        <v>EMP154</v>
      </c>
      <c r="B157" s="4" t="str">
        <v>Yuvaraj Raj</v>
      </c>
      <c r="C157" s="4" t="str">
        <f>_xlfn.XLOOKUP(A157,'EMPLOYEE MASTER DATA'!A157:A456,'EMPLOYEE MASTER DATA'!D157:D456)</f>
        <v>Maintenance</v>
      </c>
      <c r="D157" s="4" t="str">
        <f>_xlfn.XLOOKUP(A157,'EMPLOYEE MASTER DATA'!A157:A456,'EMPLOYEE MASTER DATA'!E157:E456)</f>
        <v>Maintenance Supervisor</v>
      </c>
      <c r="E157" s="26">
        <f>_xlfn.XLOOKUP(A157,'EMPLOYEE MASTER DATA'!A157:A456,'EMPLOYEE MASTER DATA'!F157:F456)</f>
        <v>41000</v>
      </c>
      <c r="F157" s="26">
        <f t="shared" si="17"/>
        <v>1708.3333333333333</v>
      </c>
      <c r="G157" s="4">
        <v>20</v>
      </c>
      <c r="H157" s="4">
        <f>_xlfn.XLOOKUP(A157,'MONTHLY ATTENDANCE SUMMARY'!A156:A455,'MONTHLY ATTENDANCE SUMMARY'!F156:F455)</f>
        <v>2</v>
      </c>
      <c r="I157" s="4">
        <f t="shared" si="18"/>
        <v>1</v>
      </c>
      <c r="J157" s="4">
        <f t="shared" si="19"/>
        <v>1</v>
      </c>
      <c r="K157" s="26">
        <f t="shared" si="20"/>
        <v>36729.166666666664</v>
      </c>
      <c r="L157" s="26">
        <f t="shared" si="16"/>
        <v>4920</v>
      </c>
      <c r="M157" s="26">
        <f t="shared" si="21"/>
        <v>200</v>
      </c>
      <c r="N157" s="26">
        <f t="shared" si="22"/>
        <v>0</v>
      </c>
      <c r="O157" s="27">
        <f t="shared" si="23"/>
        <v>31609.166666666664</v>
      </c>
    </row>
    <row r="158" spans="1:15" x14ac:dyDescent="0.3">
      <c r="A158" s="10" t="str">
        <v>EMP155</v>
      </c>
      <c r="B158" s="4" t="str">
        <v>Vinoth Selvam</v>
      </c>
      <c r="C158" s="4" t="str">
        <f>_xlfn.XLOOKUP(A158,'EMPLOYEE MASTER DATA'!A158:A457,'EMPLOYEE MASTER DATA'!D158:D457)</f>
        <v>Customer Relationship</v>
      </c>
      <c r="D158" s="4" t="str">
        <f>_xlfn.XLOOKUP(A158,'EMPLOYEE MASTER DATA'!A158:A457,'EMPLOYEE MASTER DATA'!E158:E457)</f>
        <v>Customer Relationship Officer</v>
      </c>
      <c r="E158" s="26">
        <f>_xlfn.XLOOKUP(A158,'EMPLOYEE MASTER DATA'!A158:A457,'EMPLOYEE MASTER DATA'!F158:F457)</f>
        <v>27500</v>
      </c>
      <c r="F158" s="26">
        <f t="shared" si="17"/>
        <v>1145.8333333333333</v>
      </c>
      <c r="G158" s="4">
        <v>19</v>
      </c>
      <c r="H158" s="4">
        <f>_xlfn.XLOOKUP(A158,'MONTHLY ATTENDANCE SUMMARY'!A157:A456,'MONTHLY ATTENDANCE SUMMARY'!F157:F456)</f>
        <v>1</v>
      </c>
      <c r="I158" s="4">
        <f t="shared" si="18"/>
        <v>1</v>
      </c>
      <c r="J158" s="4">
        <f t="shared" si="19"/>
        <v>0</v>
      </c>
      <c r="K158" s="26">
        <f t="shared" si="20"/>
        <v>22916.666666666664</v>
      </c>
      <c r="L158" s="26">
        <f t="shared" si="16"/>
        <v>3300</v>
      </c>
      <c r="M158" s="26">
        <f t="shared" si="21"/>
        <v>200</v>
      </c>
      <c r="N158" s="26">
        <f t="shared" si="22"/>
        <v>0</v>
      </c>
      <c r="O158" s="27">
        <f t="shared" si="23"/>
        <v>19416.666666666664</v>
      </c>
    </row>
    <row r="159" spans="1:15" x14ac:dyDescent="0.3">
      <c r="A159" s="10" t="str">
        <v>EMP156</v>
      </c>
      <c r="B159" s="4" t="str">
        <v>Naveen M</v>
      </c>
      <c r="C159" s="4" t="str">
        <f>_xlfn.XLOOKUP(A159,'EMPLOYEE MASTER DATA'!A159:A458,'EMPLOYEE MASTER DATA'!D159:D458)</f>
        <v>HR</v>
      </c>
      <c r="D159" s="4" t="str">
        <f>_xlfn.XLOOKUP(A159,'EMPLOYEE MASTER DATA'!A159:A458,'EMPLOYEE MASTER DATA'!E159:E458)</f>
        <v>HR Manager</v>
      </c>
      <c r="E159" s="26">
        <f>_xlfn.XLOOKUP(A159,'EMPLOYEE MASTER DATA'!A159:A458,'EMPLOYEE MASTER DATA'!F159:F458)</f>
        <v>66000</v>
      </c>
      <c r="F159" s="26">
        <f t="shared" si="17"/>
        <v>2750</v>
      </c>
      <c r="G159" s="4">
        <v>20</v>
      </c>
      <c r="H159" s="4">
        <f>_xlfn.XLOOKUP(A159,'MONTHLY ATTENDANCE SUMMARY'!A158:A457,'MONTHLY ATTENDANCE SUMMARY'!F158:F457)</f>
        <v>1</v>
      </c>
      <c r="I159" s="4">
        <f t="shared" si="18"/>
        <v>1</v>
      </c>
      <c r="J159" s="4">
        <f t="shared" si="19"/>
        <v>0</v>
      </c>
      <c r="K159" s="26">
        <f t="shared" si="20"/>
        <v>57750</v>
      </c>
      <c r="L159" s="26">
        <f t="shared" si="16"/>
        <v>7920</v>
      </c>
      <c r="M159" s="26">
        <f t="shared" si="21"/>
        <v>200</v>
      </c>
      <c r="N159" s="26">
        <f t="shared" si="22"/>
        <v>0</v>
      </c>
      <c r="O159" s="27">
        <f t="shared" si="23"/>
        <v>49630</v>
      </c>
    </row>
    <row r="160" spans="1:15" x14ac:dyDescent="0.3">
      <c r="A160" s="10" t="str">
        <v>EMP157</v>
      </c>
      <c r="B160" s="4" t="str">
        <v>Yogesh S</v>
      </c>
      <c r="C160" s="4" t="str">
        <f>_xlfn.XLOOKUP(A160,'EMPLOYEE MASTER DATA'!A160:A459,'EMPLOYEE MASTER DATA'!D160:D459)</f>
        <v>Accounts</v>
      </c>
      <c r="D160" s="4" t="str">
        <f>_xlfn.XLOOKUP(A160,'EMPLOYEE MASTER DATA'!A160:A459,'EMPLOYEE MASTER DATA'!E160:E459)</f>
        <v>Accountant</v>
      </c>
      <c r="E160" s="26">
        <f>_xlfn.XLOOKUP(A160,'EMPLOYEE MASTER DATA'!A160:A459,'EMPLOYEE MASTER DATA'!F160:F459)</f>
        <v>35000</v>
      </c>
      <c r="F160" s="26">
        <f t="shared" si="17"/>
        <v>1458.3333333333333</v>
      </c>
      <c r="G160" s="4">
        <v>22</v>
      </c>
      <c r="H160" s="4">
        <f>_xlfn.XLOOKUP(A160,'MONTHLY ATTENDANCE SUMMARY'!A159:A458,'MONTHLY ATTENDANCE SUMMARY'!F159:F458)</f>
        <v>2</v>
      </c>
      <c r="I160" s="4">
        <f t="shared" si="18"/>
        <v>1</v>
      </c>
      <c r="J160" s="4">
        <f t="shared" si="19"/>
        <v>1</v>
      </c>
      <c r="K160" s="26">
        <f t="shared" si="20"/>
        <v>34270.833333333328</v>
      </c>
      <c r="L160" s="26">
        <f t="shared" si="16"/>
        <v>4200</v>
      </c>
      <c r="M160" s="26">
        <f t="shared" si="21"/>
        <v>200</v>
      </c>
      <c r="N160" s="26">
        <f t="shared" si="22"/>
        <v>0</v>
      </c>
      <c r="O160" s="27">
        <f t="shared" si="23"/>
        <v>29870.833333333328</v>
      </c>
    </row>
    <row r="161" spans="1:15" x14ac:dyDescent="0.3">
      <c r="A161" s="10" t="str">
        <v>EMP158</v>
      </c>
      <c r="B161" s="4" t="str">
        <v>Karthik P</v>
      </c>
      <c r="C161" s="4" t="str">
        <f>_xlfn.XLOOKUP(A161,'EMPLOYEE MASTER DATA'!A161:A460,'EMPLOYEE MASTER DATA'!D161:D460)</f>
        <v>Accounts</v>
      </c>
      <c r="D161" s="4" t="str">
        <f>_xlfn.XLOOKUP(A161,'EMPLOYEE MASTER DATA'!A161:A460,'EMPLOYEE MASTER DATA'!E161:E460)</f>
        <v>Accounts Manager</v>
      </c>
      <c r="E161" s="26">
        <f>_xlfn.XLOOKUP(A161,'EMPLOYEE MASTER DATA'!A161:A460,'EMPLOYEE MASTER DATA'!F161:F460)</f>
        <v>86000</v>
      </c>
      <c r="F161" s="26">
        <f t="shared" si="17"/>
        <v>3583.3333333333335</v>
      </c>
      <c r="G161" s="4">
        <v>18</v>
      </c>
      <c r="H161" s="4">
        <f>_xlfn.XLOOKUP(A161,'MONTHLY ATTENDANCE SUMMARY'!A160:A459,'MONTHLY ATTENDANCE SUMMARY'!F160:F459)</f>
        <v>2</v>
      </c>
      <c r="I161" s="4">
        <f t="shared" si="18"/>
        <v>1</v>
      </c>
      <c r="J161" s="4">
        <f t="shared" si="19"/>
        <v>1</v>
      </c>
      <c r="K161" s="26">
        <f t="shared" si="20"/>
        <v>69875</v>
      </c>
      <c r="L161" s="26">
        <f t="shared" si="16"/>
        <v>10320</v>
      </c>
      <c r="M161" s="26">
        <f t="shared" si="21"/>
        <v>200</v>
      </c>
      <c r="N161" s="26">
        <f t="shared" si="22"/>
        <v>0</v>
      </c>
      <c r="O161" s="27">
        <f t="shared" si="23"/>
        <v>59355</v>
      </c>
    </row>
    <row r="162" spans="1:15" x14ac:dyDescent="0.3">
      <c r="A162" s="10" t="str">
        <v>EMP159</v>
      </c>
      <c r="B162" s="4" t="str">
        <v>Yuvaraj T</v>
      </c>
      <c r="C162" s="4" t="str">
        <f>_xlfn.XLOOKUP(A162,'EMPLOYEE MASTER DATA'!A162:A461,'EMPLOYEE MASTER DATA'!D162:D461)</f>
        <v>Production</v>
      </c>
      <c r="D162" s="4" t="str">
        <f>_xlfn.XLOOKUP(A162,'EMPLOYEE MASTER DATA'!A162:A461,'EMPLOYEE MASTER DATA'!E162:E461)</f>
        <v>Shift Incharge</v>
      </c>
      <c r="E162" s="26">
        <f>_xlfn.XLOOKUP(A162,'EMPLOYEE MASTER DATA'!A162:A461,'EMPLOYEE MASTER DATA'!F162:F461)</f>
        <v>50500</v>
      </c>
      <c r="F162" s="26">
        <f t="shared" si="17"/>
        <v>2104.1666666666665</v>
      </c>
      <c r="G162" s="4">
        <v>18</v>
      </c>
      <c r="H162" s="4">
        <f>_xlfn.XLOOKUP(A162,'MONTHLY ATTENDANCE SUMMARY'!A161:A460,'MONTHLY ATTENDANCE SUMMARY'!F161:F460)</f>
        <v>1</v>
      </c>
      <c r="I162" s="4">
        <f t="shared" si="18"/>
        <v>1</v>
      </c>
      <c r="J162" s="4">
        <f t="shared" si="19"/>
        <v>0</v>
      </c>
      <c r="K162" s="26">
        <f t="shared" si="20"/>
        <v>39979.166666666664</v>
      </c>
      <c r="L162" s="26">
        <f t="shared" si="16"/>
        <v>6060</v>
      </c>
      <c r="M162" s="26">
        <f t="shared" si="21"/>
        <v>200</v>
      </c>
      <c r="N162" s="26">
        <f t="shared" si="22"/>
        <v>0</v>
      </c>
      <c r="O162" s="27">
        <f t="shared" si="23"/>
        <v>33719.166666666664</v>
      </c>
    </row>
    <row r="163" spans="1:15" x14ac:dyDescent="0.3">
      <c r="A163" s="10" t="str">
        <v>EMP160</v>
      </c>
      <c r="B163" s="4" t="str">
        <v>Rahul B</v>
      </c>
      <c r="C163" s="4" t="str">
        <f>_xlfn.XLOOKUP(A163,'EMPLOYEE MASTER DATA'!A163:A462,'EMPLOYEE MASTER DATA'!D163:D462)</f>
        <v>Production</v>
      </c>
      <c r="D163" s="4" t="str">
        <f>_xlfn.XLOOKUP(A163,'EMPLOYEE MASTER DATA'!A163:A462,'EMPLOYEE MASTER DATA'!E163:E462)</f>
        <v>Production Manager</v>
      </c>
      <c r="E163" s="26">
        <f>_xlfn.XLOOKUP(A163,'EMPLOYEE MASTER DATA'!A163:A462,'EMPLOYEE MASTER DATA'!F163:F462)</f>
        <v>68500</v>
      </c>
      <c r="F163" s="26">
        <f t="shared" si="17"/>
        <v>2854.1666666666665</v>
      </c>
      <c r="G163" s="4">
        <v>19</v>
      </c>
      <c r="H163" s="4">
        <f>_xlfn.XLOOKUP(A163,'MONTHLY ATTENDANCE SUMMARY'!A162:A461,'MONTHLY ATTENDANCE SUMMARY'!F162:F461)</f>
        <v>1</v>
      </c>
      <c r="I163" s="4">
        <f t="shared" si="18"/>
        <v>1</v>
      </c>
      <c r="J163" s="4">
        <f t="shared" si="19"/>
        <v>0</v>
      </c>
      <c r="K163" s="26">
        <f t="shared" si="20"/>
        <v>57083.333333333328</v>
      </c>
      <c r="L163" s="26">
        <f t="shared" si="16"/>
        <v>8220</v>
      </c>
      <c r="M163" s="26">
        <f t="shared" si="21"/>
        <v>200</v>
      </c>
      <c r="N163" s="26">
        <f t="shared" si="22"/>
        <v>0</v>
      </c>
      <c r="O163" s="27">
        <f t="shared" si="23"/>
        <v>48663.333333333328</v>
      </c>
    </row>
    <row r="164" spans="1:15" x14ac:dyDescent="0.3">
      <c r="A164" s="10" t="str">
        <v>EMP161</v>
      </c>
      <c r="B164" s="4" t="str">
        <v>Deepak G</v>
      </c>
      <c r="C164" s="4" t="str">
        <f>_xlfn.XLOOKUP(A164,'EMPLOYEE MASTER DATA'!A164:A463,'EMPLOYEE MASTER DATA'!D164:D463)</f>
        <v>Sales</v>
      </c>
      <c r="D164" s="4" t="str">
        <f>_xlfn.XLOOKUP(A164,'EMPLOYEE MASTER DATA'!A164:A463,'EMPLOYEE MASTER DATA'!E164:E463)</f>
        <v>Key Account Executive</v>
      </c>
      <c r="E164" s="26">
        <f>_xlfn.XLOOKUP(A164,'EMPLOYEE MASTER DATA'!A164:A463,'EMPLOYEE MASTER DATA'!F164:F463)</f>
        <v>48000</v>
      </c>
      <c r="F164" s="26">
        <f t="shared" si="17"/>
        <v>2000</v>
      </c>
      <c r="G164" s="4">
        <v>22</v>
      </c>
      <c r="H164" s="4">
        <f>_xlfn.XLOOKUP(A164,'MONTHLY ATTENDANCE SUMMARY'!A163:A462,'MONTHLY ATTENDANCE SUMMARY'!F163:F462)</f>
        <v>2</v>
      </c>
      <c r="I164" s="4">
        <f t="shared" si="18"/>
        <v>1</v>
      </c>
      <c r="J164" s="4">
        <f t="shared" si="19"/>
        <v>1</v>
      </c>
      <c r="K164" s="26">
        <f t="shared" si="20"/>
        <v>47000</v>
      </c>
      <c r="L164" s="26">
        <f t="shared" si="16"/>
        <v>5760</v>
      </c>
      <c r="M164" s="26">
        <f t="shared" si="21"/>
        <v>200</v>
      </c>
      <c r="N164" s="26">
        <f t="shared" si="22"/>
        <v>0</v>
      </c>
      <c r="O164" s="27">
        <f t="shared" si="23"/>
        <v>41040</v>
      </c>
    </row>
    <row r="165" spans="1:15" x14ac:dyDescent="0.3">
      <c r="A165" s="10" t="str">
        <v>EMP162</v>
      </c>
      <c r="B165" s="4" t="str">
        <v>Ramesh G</v>
      </c>
      <c r="C165" s="4" t="str">
        <f>_xlfn.XLOOKUP(A165,'EMPLOYEE MASTER DATA'!A165:A464,'EMPLOYEE MASTER DATA'!D165:D464)</f>
        <v>Accounts</v>
      </c>
      <c r="D165" s="4" t="str">
        <f>_xlfn.XLOOKUP(A165,'EMPLOYEE MASTER DATA'!A165:A464,'EMPLOYEE MASTER DATA'!E165:E464)</f>
        <v>Accounts Executive</v>
      </c>
      <c r="E165" s="26">
        <f>_xlfn.XLOOKUP(A165,'EMPLOYEE MASTER DATA'!A165:A464,'EMPLOYEE MASTER DATA'!F165:F464)</f>
        <v>28000</v>
      </c>
      <c r="F165" s="26">
        <f t="shared" si="17"/>
        <v>1166.6666666666667</v>
      </c>
      <c r="G165" s="4">
        <v>19</v>
      </c>
      <c r="H165" s="4">
        <f>_xlfn.XLOOKUP(A165,'MONTHLY ATTENDANCE SUMMARY'!A164:A463,'MONTHLY ATTENDANCE SUMMARY'!F164:F463)</f>
        <v>2</v>
      </c>
      <c r="I165" s="4">
        <f t="shared" si="18"/>
        <v>1</v>
      </c>
      <c r="J165" s="4">
        <f t="shared" si="19"/>
        <v>1</v>
      </c>
      <c r="K165" s="26">
        <f t="shared" si="20"/>
        <v>23916.666666666668</v>
      </c>
      <c r="L165" s="26">
        <f t="shared" si="16"/>
        <v>3360</v>
      </c>
      <c r="M165" s="26">
        <f t="shared" si="21"/>
        <v>200</v>
      </c>
      <c r="N165" s="26">
        <f t="shared" si="22"/>
        <v>0</v>
      </c>
      <c r="O165" s="27">
        <f t="shared" si="23"/>
        <v>20356.666666666668</v>
      </c>
    </row>
    <row r="166" spans="1:15" x14ac:dyDescent="0.3">
      <c r="A166" s="10" t="str">
        <v>EMP163</v>
      </c>
      <c r="B166" s="4" t="str">
        <v>Praveen Kannan</v>
      </c>
      <c r="C166" s="4" t="str">
        <f>_xlfn.XLOOKUP(A166,'EMPLOYEE MASTER DATA'!A166:A465,'EMPLOYEE MASTER DATA'!D166:D465)</f>
        <v>Customer Relationship</v>
      </c>
      <c r="D166" s="4" t="str">
        <f>_xlfn.XLOOKUP(A166,'EMPLOYEE MASTER DATA'!A166:A465,'EMPLOYEE MASTER DATA'!E166:E465)</f>
        <v>Customer Relationship Officer</v>
      </c>
      <c r="E166" s="26">
        <f>_xlfn.XLOOKUP(A166,'EMPLOYEE MASTER DATA'!A166:A465,'EMPLOYEE MASTER DATA'!F166:F465)</f>
        <v>28500</v>
      </c>
      <c r="F166" s="26">
        <f t="shared" si="17"/>
        <v>1187.5</v>
      </c>
      <c r="G166" s="4">
        <v>19</v>
      </c>
      <c r="H166" s="4">
        <f>_xlfn.XLOOKUP(A166,'MONTHLY ATTENDANCE SUMMARY'!A165:A464,'MONTHLY ATTENDANCE SUMMARY'!F165:F464)</f>
        <v>2</v>
      </c>
      <c r="I166" s="4">
        <f t="shared" si="18"/>
        <v>1</v>
      </c>
      <c r="J166" s="4">
        <f t="shared" si="19"/>
        <v>1</v>
      </c>
      <c r="K166" s="26">
        <f t="shared" si="20"/>
        <v>24343.75</v>
      </c>
      <c r="L166" s="26">
        <f t="shared" si="16"/>
        <v>3420</v>
      </c>
      <c r="M166" s="26">
        <f t="shared" si="21"/>
        <v>200</v>
      </c>
      <c r="N166" s="26">
        <f t="shared" si="22"/>
        <v>0</v>
      </c>
      <c r="O166" s="27">
        <f t="shared" si="23"/>
        <v>20723.75</v>
      </c>
    </row>
    <row r="167" spans="1:15" x14ac:dyDescent="0.3">
      <c r="A167" s="10" t="str">
        <v>EMP164</v>
      </c>
      <c r="B167" s="4" t="str">
        <v>Yogesh T</v>
      </c>
      <c r="C167" s="4" t="str">
        <f>_xlfn.XLOOKUP(A167,'EMPLOYEE MASTER DATA'!A167:A466,'EMPLOYEE MASTER DATA'!D167:D466)</f>
        <v>IT</v>
      </c>
      <c r="D167" s="4" t="str">
        <f>_xlfn.XLOOKUP(A167,'EMPLOYEE MASTER DATA'!A167:A466,'EMPLOYEE MASTER DATA'!E167:E466)</f>
        <v>IT Support Engineer</v>
      </c>
      <c r="E167" s="26">
        <f>_xlfn.XLOOKUP(A167,'EMPLOYEE MASTER DATA'!A167:A466,'EMPLOYEE MASTER DATA'!F167:F466)</f>
        <v>29000</v>
      </c>
      <c r="F167" s="26">
        <f t="shared" si="17"/>
        <v>1208.3333333333333</v>
      </c>
      <c r="G167" s="4">
        <v>18</v>
      </c>
      <c r="H167" s="4">
        <f>_xlfn.XLOOKUP(A167,'MONTHLY ATTENDANCE SUMMARY'!A166:A465,'MONTHLY ATTENDANCE SUMMARY'!F166:F465)</f>
        <v>2</v>
      </c>
      <c r="I167" s="4">
        <f t="shared" si="18"/>
        <v>1</v>
      </c>
      <c r="J167" s="4">
        <f t="shared" si="19"/>
        <v>1</v>
      </c>
      <c r="K167" s="26">
        <f t="shared" si="20"/>
        <v>23562.5</v>
      </c>
      <c r="L167" s="26">
        <f t="shared" si="16"/>
        <v>3480</v>
      </c>
      <c r="M167" s="26">
        <f t="shared" si="21"/>
        <v>200</v>
      </c>
      <c r="N167" s="26">
        <f t="shared" si="22"/>
        <v>0</v>
      </c>
      <c r="O167" s="27">
        <f t="shared" si="23"/>
        <v>19882.5</v>
      </c>
    </row>
    <row r="168" spans="1:15" x14ac:dyDescent="0.3">
      <c r="A168" s="10" t="str">
        <v>EMP165</v>
      </c>
      <c r="B168" s="4" t="str">
        <v>Sanjay Selvam</v>
      </c>
      <c r="C168" s="4" t="str">
        <f>_xlfn.XLOOKUP(A168,'EMPLOYEE MASTER DATA'!A168:A467,'EMPLOYEE MASTER DATA'!D168:D467)</f>
        <v>Production</v>
      </c>
      <c r="D168" s="4" t="str">
        <f>_xlfn.XLOOKUP(A168,'EMPLOYEE MASTER DATA'!A168:A467,'EMPLOYEE MASTER DATA'!E168:E467)</f>
        <v>Quality Inspector</v>
      </c>
      <c r="E168" s="26">
        <f>_xlfn.XLOOKUP(A168,'EMPLOYEE MASTER DATA'!A168:A467,'EMPLOYEE MASTER DATA'!F168:F467)</f>
        <v>29500</v>
      </c>
      <c r="F168" s="26">
        <f t="shared" si="17"/>
        <v>1229.1666666666667</v>
      </c>
      <c r="G168" s="4">
        <v>21</v>
      </c>
      <c r="H168" s="4">
        <f>_xlfn.XLOOKUP(A168,'MONTHLY ATTENDANCE SUMMARY'!A167:A466,'MONTHLY ATTENDANCE SUMMARY'!F167:F466)</f>
        <v>2</v>
      </c>
      <c r="I168" s="4">
        <f t="shared" si="18"/>
        <v>1</v>
      </c>
      <c r="J168" s="4">
        <f t="shared" si="19"/>
        <v>1</v>
      </c>
      <c r="K168" s="26">
        <f t="shared" si="20"/>
        <v>27656.25</v>
      </c>
      <c r="L168" s="26">
        <f t="shared" si="16"/>
        <v>3540</v>
      </c>
      <c r="M168" s="26">
        <f t="shared" si="21"/>
        <v>200</v>
      </c>
      <c r="N168" s="26">
        <f t="shared" si="22"/>
        <v>0</v>
      </c>
      <c r="O168" s="27">
        <f t="shared" si="23"/>
        <v>23916.25</v>
      </c>
    </row>
    <row r="169" spans="1:15" x14ac:dyDescent="0.3">
      <c r="A169" s="10" t="str">
        <v>EMP166</v>
      </c>
      <c r="B169" s="4" t="str">
        <v>Dinesh B</v>
      </c>
      <c r="C169" s="4" t="str">
        <f>_xlfn.XLOOKUP(A169,'EMPLOYEE MASTER DATA'!A169:A468,'EMPLOYEE MASTER DATA'!D169:D468)</f>
        <v>Accounts</v>
      </c>
      <c r="D169" s="4" t="str">
        <f>_xlfn.XLOOKUP(A169,'EMPLOYEE MASTER DATA'!A169:A468,'EMPLOYEE MASTER DATA'!E169:E468)</f>
        <v>Accounts Manager</v>
      </c>
      <c r="E169" s="26">
        <f>_xlfn.XLOOKUP(A169,'EMPLOYEE MASTER DATA'!A169:A468,'EMPLOYEE MASTER DATA'!F169:F468)</f>
        <v>78000</v>
      </c>
      <c r="F169" s="26">
        <f t="shared" si="17"/>
        <v>3250</v>
      </c>
      <c r="G169" s="4">
        <v>19</v>
      </c>
      <c r="H169" s="4">
        <f>_xlfn.XLOOKUP(A169,'MONTHLY ATTENDANCE SUMMARY'!A168:A467,'MONTHLY ATTENDANCE SUMMARY'!F168:F467)</f>
        <v>1</v>
      </c>
      <c r="I169" s="4">
        <f t="shared" si="18"/>
        <v>1</v>
      </c>
      <c r="J169" s="4">
        <f t="shared" si="19"/>
        <v>0</v>
      </c>
      <c r="K169" s="26">
        <f t="shared" si="20"/>
        <v>65000</v>
      </c>
      <c r="L169" s="26">
        <f t="shared" si="16"/>
        <v>9360</v>
      </c>
      <c r="M169" s="26">
        <f t="shared" si="21"/>
        <v>200</v>
      </c>
      <c r="N169" s="26">
        <f t="shared" si="22"/>
        <v>0</v>
      </c>
      <c r="O169" s="27">
        <f t="shared" si="23"/>
        <v>55440</v>
      </c>
    </row>
    <row r="170" spans="1:15" x14ac:dyDescent="0.3">
      <c r="A170" s="10" t="str">
        <v>EMP167</v>
      </c>
      <c r="B170" s="4" t="str">
        <v>Kishore Krishnan</v>
      </c>
      <c r="C170" s="4" t="str">
        <f>_xlfn.XLOOKUP(A170,'EMPLOYEE MASTER DATA'!A170:A469,'EMPLOYEE MASTER DATA'!D170:D469)</f>
        <v>Business Development</v>
      </c>
      <c r="D170" s="4" t="str">
        <f>_xlfn.XLOOKUP(A170,'EMPLOYEE MASTER DATA'!A170:A469,'EMPLOYEE MASTER DATA'!E170:E469)</f>
        <v>Senior Business Development Executive</v>
      </c>
      <c r="E170" s="26">
        <f>_xlfn.XLOOKUP(A170,'EMPLOYEE MASTER DATA'!A170:A469,'EMPLOYEE MASTER DATA'!F170:F469)</f>
        <v>47500</v>
      </c>
      <c r="F170" s="26">
        <f t="shared" si="17"/>
        <v>1979.1666666666667</v>
      </c>
      <c r="G170" s="4">
        <v>18</v>
      </c>
      <c r="H170" s="4">
        <f>_xlfn.XLOOKUP(A170,'MONTHLY ATTENDANCE SUMMARY'!A169:A468,'MONTHLY ATTENDANCE SUMMARY'!F169:F468)</f>
        <v>1</v>
      </c>
      <c r="I170" s="4">
        <f t="shared" si="18"/>
        <v>1</v>
      </c>
      <c r="J170" s="4">
        <f t="shared" si="19"/>
        <v>0</v>
      </c>
      <c r="K170" s="26">
        <f t="shared" si="20"/>
        <v>37604.166666666672</v>
      </c>
      <c r="L170" s="26">
        <f t="shared" si="16"/>
        <v>5700</v>
      </c>
      <c r="M170" s="26">
        <f t="shared" si="21"/>
        <v>200</v>
      </c>
      <c r="N170" s="26">
        <f t="shared" si="22"/>
        <v>0</v>
      </c>
      <c r="O170" s="27">
        <f t="shared" si="23"/>
        <v>31704.166666666672</v>
      </c>
    </row>
    <row r="171" spans="1:15" x14ac:dyDescent="0.3">
      <c r="A171" s="10" t="str">
        <v>EMP168</v>
      </c>
      <c r="B171" s="4" t="str">
        <v>Saravanan Murugan</v>
      </c>
      <c r="C171" s="4" t="str">
        <f>_xlfn.XLOOKUP(A171,'EMPLOYEE MASTER DATA'!A171:A470,'EMPLOYEE MASTER DATA'!D171:D470)</f>
        <v>Production</v>
      </c>
      <c r="D171" s="4" t="str">
        <f>_xlfn.XLOOKUP(A171,'EMPLOYEE MASTER DATA'!A171:A470,'EMPLOYEE MASTER DATA'!E171:E470)</f>
        <v>Production Manager</v>
      </c>
      <c r="E171" s="26">
        <f>_xlfn.XLOOKUP(A171,'EMPLOYEE MASTER DATA'!A171:A470,'EMPLOYEE MASTER DATA'!F171:F470)</f>
        <v>64500</v>
      </c>
      <c r="F171" s="26">
        <f t="shared" si="17"/>
        <v>2687.5</v>
      </c>
      <c r="G171" s="4">
        <v>22</v>
      </c>
      <c r="H171" s="4">
        <f>_xlfn.XLOOKUP(A171,'MONTHLY ATTENDANCE SUMMARY'!A170:A469,'MONTHLY ATTENDANCE SUMMARY'!F170:F469)</f>
        <v>2</v>
      </c>
      <c r="I171" s="4">
        <f t="shared" si="18"/>
        <v>1</v>
      </c>
      <c r="J171" s="4">
        <f t="shared" si="19"/>
        <v>1</v>
      </c>
      <c r="K171" s="26">
        <f t="shared" si="20"/>
        <v>63156.25</v>
      </c>
      <c r="L171" s="26">
        <f t="shared" si="16"/>
        <v>7740</v>
      </c>
      <c r="M171" s="26">
        <f t="shared" si="21"/>
        <v>200</v>
      </c>
      <c r="N171" s="26">
        <f t="shared" si="22"/>
        <v>0</v>
      </c>
      <c r="O171" s="27">
        <f t="shared" si="23"/>
        <v>55216.25</v>
      </c>
    </row>
    <row r="172" spans="1:15" x14ac:dyDescent="0.3">
      <c r="A172" s="10" t="str">
        <v>EMP169</v>
      </c>
      <c r="B172" s="4" t="str">
        <v>Naveen S</v>
      </c>
      <c r="C172" s="4" t="str">
        <f>_xlfn.XLOOKUP(A172,'EMPLOYEE MASTER DATA'!A172:A471,'EMPLOYEE MASTER DATA'!D172:D471)</f>
        <v>Production</v>
      </c>
      <c r="D172" s="4" t="str">
        <f>_xlfn.XLOOKUP(A172,'EMPLOYEE MASTER DATA'!A172:A471,'EMPLOYEE MASTER DATA'!E172:E471)</f>
        <v>Production Executive</v>
      </c>
      <c r="E172" s="26">
        <f>_xlfn.XLOOKUP(A172,'EMPLOYEE MASTER DATA'!A172:A471,'EMPLOYEE MASTER DATA'!F172:F471)</f>
        <v>24500</v>
      </c>
      <c r="F172" s="26">
        <f t="shared" si="17"/>
        <v>1020.8333333333334</v>
      </c>
      <c r="G172" s="4">
        <v>19</v>
      </c>
      <c r="H172" s="4">
        <f>_xlfn.XLOOKUP(A172,'MONTHLY ATTENDANCE SUMMARY'!A171:A470,'MONTHLY ATTENDANCE SUMMARY'!F171:F470)</f>
        <v>1</v>
      </c>
      <c r="I172" s="4">
        <f t="shared" si="18"/>
        <v>1</v>
      </c>
      <c r="J172" s="4">
        <f t="shared" si="19"/>
        <v>0</v>
      </c>
      <c r="K172" s="26">
        <f t="shared" si="20"/>
        <v>20416.666666666668</v>
      </c>
      <c r="L172" s="26">
        <f t="shared" si="16"/>
        <v>2940</v>
      </c>
      <c r="M172" s="26">
        <f t="shared" si="21"/>
        <v>0</v>
      </c>
      <c r="N172" s="26">
        <f t="shared" si="22"/>
        <v>153.125</v>
      </c>
      <c r="O172" s="27">
        <f t="shared" si="23"/>
        <v>17323.541666666668</v>
      </c>
    </row>
    <row r="173" spans="1:15" x14ac:dyDescent="0.3">
      <c r="A173" s="10" t="str">
        <v>EMP170</v>
      </c>
      <c r="B173" s="4" t="str">
        <v>Praveen Babu</v>
      </c>
      <c r="C173" s="4" t="str">
        <f>_xlfn.XLOOKUP(A173,'EMPLOYEE MASTER DATA'!A173:A472,'EMPLOYEE MASTER DATA'!D173:D472)</f>
        <v>Production</v>
      </c>
      <c r="D173" s="4" t="str">
        <f>_xlfn.XLOOKUP(A173,'EMPLOYEE MASTER DATA'!A173:A472,'EMPLOYEE MASTER DATA'!E173:E472)</f>
        <v>Shift Incharge</v>
      </c>
      <c r="E173" s="26">
        <f>_xlfn.XLOOKUP(A173,'EMPLOYEE MASTER DATA'!A173:A472,'EMPLOYEE MASTER DATA'!F173:F472)</f>
        <v>47000</v>
      </c>
      <c r="F173" s="26">
        <f t="shared" si="17"/>
        <v>1958.3333333333333</v>
      </c>
      <c r="G173" s="4">
        <v>19</v>
      </c>
      <c r="H173" s="4">
        <f>_xlfn.XLOOKUP(A173,'MONTHLY ATTENDANCE SUMMARY'!A172:A471,'MONTHLY ATTENDANCE SUMMARY'!F172:F471)</f>
        <v>1</v>
      </c>
      <c r="I173" s="4">
        <f t="shared" si="18"/>
        <v>1</v>
      </c>
      <c r="J173" s="4">
        <f t="shared" si="19"/>
        <v>0</v>
      </c>
      <c r="K173" s="26">
        <f t="shared" si="20"/>
        <v>39166.666666666664</v>
      </c>
      <c r="L173" s="26">
        <f t="shared" si="16"/>
        <v>5640</v>
      </c>
      <c r="M173" s="26">
        <f t="shared" si="21"/>
        <v>200</v>
      </c>
      <c r="N173" s="26">
        <f t="shared" si="22"/>
        <v>0</v>
      </c>
      <c r="O173" s="27">
        <f t="shared" si="23"/>
        <v>33326.666666666664</v>
      </c>
    </row>
    <row r="174" spans="1:15" x14ac:dyDescent="0.3">
      <c r="A174" s="10" t="str">
        <v>EMP171</v>
      </c>
      <c r="B174" s="4" t="str">
        <v>Nithin K</v>
      </c>
      <c r="C174" s="4" t="str">
        <f>_xlfn.XLOOKUP(A174,'EMPLOYEE MASTER DATA'!A174:A473,'EMPLOYEE MASTER DATA'!D174:D473)</f>
        <v>Front Office</v>
      </c>
      <c r="D174" s="4" t="str">
        <f>_xlfn.XLOOKUP(A174,'EMPLOYEE MASTER DATA'!A174:A473,'EMPLOYEE MASTER DATA'!E174:E473)</f>
        <v>Front Office Executive</v>
      </c>
      <c r="E174" s="26">
        <f>_xlfn.XLOOKUP(A174,'EMPLOYEE MASTER DATA'!A174:A473,'EMPLOYEE MASTER DATA'!F174:F473)</f>
        <v>25500</v>
      </c>
      <c r="F174" s="26">
        <f t="shared" si="17"/>
        <v>1062.5</v>
      </c>
      <c r="G174" s="4">
        <v>18</v>
      </c>
      <c r="H174" s="4">
        <f>_xlfn.XLOOKUP(A174,'MONTHLY ATTENDANCE SUMMARY'!A173:A472,'MONTHLY ATTENDANCE SUMMARY'!F173:F472)</f>
        <v>1</v>
      </c>
      <c r="I174" s="4">
        <f t="shared" si="18"/>
        <v>1</v>
      </c>
      <c r="J174" s="4">
        <f t="shared" si="19"/>
        <v>0</v>
      </c>
      <c r="K174" s="26">
        <f t="shared" si="20"/>
        <v>20187.5</v>
      </c>
      <c r="L174" s="26">
        <f t="shared" si="16"/>
        <v>3060</v>
      </c>
      <c r="M174" s="26">
        <f t="shared" si="21"/>
        <v>0</v>
      </c>
      <c r="N174" s="26">
        <f t="shared" si="22"/>
        <v>151.40625</v>
      </c>
      <c r="O174" s="27">
        <f t="shared" si="23"/>
        <v>16976.09375</v>
      </c>
    </row>
    <row r="175" spans="1:15" x14ac:dyDescent="0.3">
      <c r="A175" s="10" t="str">
        <v>EMP172</v>
      </c>
      <c r="B175" s="4" t="str">
        <v>Praveen G</v>
      </c>
      <c r="C175" s="4" t="str">
        <f>_xlfn.XLOOKUP(A175,'EMPLOYEE MASTER DATA'!A175:A474,'EMPLOYEE MASTER DATA'!D175:D474)</f>
        <v>Front Office</v>
      </c>
      <c r="D175" s="4" t="str">
        <f>_xlfn.XLOOKUP(A175,'EMPLOYEE MASTER DATA'!A175:A474,'EMPLOYEE MASTER DATA'!E175:E474)</f>
        <v>Receptionist</v>
      </c>
      <c r="E175" s="26">
        <f>_xlfn.XLOOKUP(A175,'EMPLOYEE MASTER DATA'!A175:A474,'EMPLOYEE MASTER DATA'!F175:F474)</f>
        <v>24500</v>
      </c>
      <c r="F175" s="26">
        <f t="shared" si="17"/>
        <v>1020.8333333333334</v>
      </c>
      <c r="G175" s="4">
        <v>20</v>
      </c>
      <c r="H175" s="4">
        <f>_xlfn.XLOOKUP(A175,'MONTHLY ATTENDANCE SUMMARY'!A174:A473,'MONTHLY ATTENDANCE SUMMARY'!F174:F473)</f>
        <v>1</v>
      </c>
      <c r="I175" s="4">
        <f t="shared" si="18"/>
        <v>1</v>
      </c>
      <c r="J175" s="4">
        <f t="shared" si="19"/>
        <v>0</v>
      </c>
      <c r="K175" s="26">
        <f t="shared" si="20"/>
        <v>21437.5</v>
      </c>
      <c r="L175" s="26">
        <f t="shared" si="16"/>
        <v>2940</v>
      </c>
      <c r="M175" s="26">
        <f t="shared" si="21"/>
        <v>200</v>
      </c>
      <c r="N175" s="26">
        <f t="shared" si="22"/>
        <v>0</v>
      </c>
      <c r="O175" s="27">
        <f t="shared" si="23"/>
        <v>18297.5</v>
      </c>
    </row>
    <row r="176" spans="1:15" x14ac:dyDescent="0.3">
      <c r="A176" s="10" t="str">
        <v>EMP173</v>
      </c>
      <c r="B176" s="4" t="str">
        <v>Ajay Murugan</v>
      </c>
      <c r="C176" s="4" t="str">
        <f>_xlfn.XLOOKUP(A176,'EMPLOYEE MASTER DATA'!A176:A475,'EMPLOYEE MASTER DATA'!D176:D475)</f>
        <v>Admin</v>
      </c>
      <c r="D176" s="4" t="str">
        <f>_xlfn.XLOOKUP(A176,'EMPLOYEE MASTER DATA'!A176:A475,'EMPLOYEE MASTER DATA'!E176:E475)</f>
        <v>Facility Executive</v>
      </c>
      <c r="E176" s="26">
        <f>_xlfn.XLOOKUP(A176,'EMPLOYEE MASTER DATA'!A176:A475,'EMPLOYEE MASTER DATA'!F176:F475)</f>
        <v>26500</v>
      </c>
      <c r="F176" s="26">
        <f t="shared" si="17"/>
        <v>1104.1666666666667</v>
      </c>
      <c r="G176" s="4">
        <v>18</v>
      </c>
      <c r="H176" s="4">
        <f>_xlfn.XLOOKUP(A176,'MONTHLY ATTENDANCE SUMMARY'!A175:A474,'MONTHLY ATTENDANCE SUMMARY'!F175:F474)</f>
        <v>2</v>
      </c>
      <c r="I176" s="4">
        <f t="shared" si="18"/>
        <v>1</v>
      </c>
      <c r="J176" s="4">
        <f t="shared" si="19"/>
        <v>1</v>
      </c>
      <c r="K176" s="26">
        <f t="shared" si="20"/>
        <v>21531.25</v>
      </c>
      <c r="L176" s="26">
        <f t="shared" si="16"/>
        <v>3180</v>
      </c>
      <c r="M176" s="26">
        <f t="shared" si="21"/>
        <v>200</v>
      </c>
      <c r="N176" s="26">
        <f t="shared" si="22"/>
        <v>0</v>
      </c>
      <c r="O176" s="27">
        <f t="shared" si="23"/>
        <v>18151.25</v>
      </c>
    </row>
    <row r="177" spans="1:15" x14ac:dyDescent="0.3">
      <c r="A177" s="10" t="str">
        <v>EMP174</v>
      </c>
      <c r="B177" s="4" t="str">
        <v>Manoj Raja</v>
      </c>
      <c r="C177" s="4" t="str">
        <f>_xlfn.XLOOKUP(A177,'EMPLOYEE MASTER DATA'!A177:A476,'EMPLOYEE MASTER DATA'!D177:D476)</f>
        <v>HR</v>
      </c>
      <c r="D177" s="4" t="str">
        <f>_xlfn.XLOOKUP(A177,'EMPLOYEE MASTER DATA'!A177:A476,'EMPLOYEE MASTER DATA'!E177:E476)</f>
        <v>Payroll Executive</v>
      </c>
      <c r="E177" s="26">
        <f>_xlfn.XLOOKUP(A177,'EMPLOYEE MASTER DATA'!A177:A476,'EMPLOYEE MASTER DATA'!F177:F476)</f>
        <v>32500</v>
      </c>
      <c r="F177" s="26">
        <f t="shared" si="17"/>
        <v>1354.1666666666667</v>
      </c>
      <c r="G177" s="4">
        <v>22</v>
      </c>
      <c r="H177" s="4">
        <f>_xlfn.XLOOKUP(A177,'MONTHLY ATTENDANCE SUMMARY'!A176:A475,'MONTHLY ATTENDANCE SUMMARY'!F176:F475)</f>
        <v>2</v>
      </c>
      <c r="I177" s="4">
        <f t="shared" si="18"/>
        <v>1</v>
      </c>
      <c r="J177" s="4">
        <f t="shared" si="19"/>
        <v>1</v>
      </c>
      <c r="K177" s="26">
        <f t="shared" si="20"/>
        <v>31822.916666666668</v>
      </c>
      <c r="L177" s="26">
        <f t="shared" si="16"/>
        <v>3900</v>
      </c>
      <c r="M177" s="26">
        <f t="shared" si="21"/>
        <v>200</v>
      </c>
      <c r="N177" s="26">
        <f t="shared" si="22"/>
        <v>0</v>
      </c>
      <c r="O177" s="27">
        <f t="shared" si="23"/>
        <v>27722.916666666668</v>
      </c>
    </row>
    <row r="178" spans="1:15" x14ac:dyDescent="0.3">
      <c r="A178" s="10" t="str">
        <v>EMP175</v>
      </c>
      <c r="B178" s="4" t="str">
        <v>Ashwin Narayanan</v>
      </c>
      <c r="C178" s="4" t="str">
        <f>_xlfn.XLOOKUP(A178,'EMPLOYEE MASTER DATA'!A178:A477,'EMPLOYEE MASTER DATA'!D178:D477)</f>
        <v>Business Development</v>
      </c>
      <c r="D178" s="4" t="str">
        <f>_xlfn.XLOOKUP(A178,'EMPLOYEE MASTER DATA'!A178:A477,'EMPLOYEE MASTER DATA'!E178:E477)</f>
        <v>Business Development Executive</v>
      </c>
      <c r="E178" s="26">
        <f>_xlfn.XLOOKUP(A178,'EMPLOYEE MASTER DATA'!A178:A477,'EMPLOYEE MASTER DATA'!F178:F477)</f>
        <v>32000</v>
      </c>
      <c r="F178" s="26">
        <f t="shared" si="17"/>
        <v>1333.3333333333333</v>
      </c>
      <c r="G178" s="4">
        <v>19</v>
      </c>
      <c r="H178" s="4">
        <f>_xlfn.XLOOKUP(A178,'MONTHLY ATTENDANCE SUMMARY'!A177:A476,'MONTHLY ATTENDANCE SUMMARY'!F177:F476)</f>
        <v>1</v>
      </c>
      <c r="I178" s="4">
        <f t="shared" si="18"/>
        <v>1</v>
      </c>
      <c r="J178" s="4">
        <f t="shared" si="19"/>
        <v>0</v>
      </c>
      <c r="K178" s="26">
        <f t="shared" si="20"/>
        <v>26666.666666666664</v>
      </c>
      <c r="L178" s="26">
        <f t="shared" si="16"/>
        <v>3840</v>
      </c>
      <c r="M178" s="26">
        <f t="shared" si="21"/>
        <v>200</v>
      </c>
      <c r="N178" s="26">
        <f t="shared" si="22"/>
        <v>0</v>
      </c>
      <c r="O178" s="27">
        <f t="shared" si="23"/>
        <v>22626.666666666664</v>
      </c>
    </row>
    <row r="179" spans="1:15" x14ac:dyDescent="0.3">
      <c r="A179" s="10" t="str">
        <v>EMP176</v>
      </c>
      <c r="B179" s="4" t="str">
        <v>Nithin Krishnan</v>
      </c>
      <c r="C179" s="4" t="str">
        <f>_xlfn.XLOOKUP(A179,'EMPLOYEE MASTER DATA'!A179:A478,'EMPLOYEE MASTER DATA'!D179:D478)</f>
        <v>Production</v>
      </c>
      <c r="D179" s="4" t="str">
        <f>_xlfn.XLOOKUP(A179,'EMPLOYEE MASTER DATA'!A179:A478,'EMPLOYEE MASTER DATA'!E179:E478)</f>
        <v>Production Executive</v>
      </c>
      <c r="E179" s="26">
        <f>_xlfn.XLOOKUP(A179,'EMPLOYEE MASTER DATA'!A179:A478,'EMPLOYEE MASTER DATA'!F179:F478)</f>
        <v>25000</v>
      </c>
      <c r="F179" s="26">
        <f t="shared" si="17"/>
        <v>1041.6666666666667</v>
      </c>
      <c r="G179" s="4">
        <v>22</v>
      </c>
      <c r="H179" s="4">
        <f>_xlfn.XLOOKUP(A179,'MONTHLY ATTENDANCE SUMMARY'!A178:A477,'MONTHLY ATTENDANCE SUMMARY'!F178:F477)</f>
        <v>2</v>
      </c>
      <c r="I179" s="4">
        <f t="shared" si="18"/>
        <v>1</v>
      </c>
      <c r="J179" s="4">
        <f t="shared" si="19"/>
        <v>1</v>
      </c>
      <c r="K179" s="26">
        <f t="shared" si="20"/>
        <v>24479.166666666668</v>
      </c>
      <c r="L179" s="26">
        <f t="shared" si="16"/>
        <v>3000</v>
      </c>
      <c r="M179" s="26">
        <f t="shared" si="21"/>
        <v>200</v>
      </c>
      <c r="N179" s="26">
        <f t="shared" si="22"/>
        <v>0</v>
      </c>
      <c r="O179" s="27">
        <f t="shared" si="23"/>
        <v>21279.166666666668</v>
      </c>
    </row>
    <row r="180" spans="1:15" x14ac:dyDescent="0.3">
      <c r="A180" s="10" t="str">
        <v>EMP177</v>
      </c>
      <c r="B180" s="4" t="str">
        <v>Deepak Narayanan</v>
      </c>
      <c r="C180" s="4" t="str">
        <f>_xlfn.XLOOKUP(A180,'EMPLOYEE MASTER DATA'!A180:A479,'EMPLOYEE MASTER DATA'!D180:D479)</f>
        <v>Production</v>
      </c>
      <c r="D180" s="4" t="str">
        <f>_xlfn.XLOOKUP(A180,'EMPLOYEE MASTER DATA'!A180:A479,'EMPLOYEE MASTER DATA'!E180:E479)</f>
        <v>Shift Incharge</v>
      </c>
      <c r="E180" s="26">
        <f>_xlfn.XLOOKUP(A180,'EMPLOYEE MASTER DATA'!A180:A479,'EMPLOYEE MASTER DATA'!F180:F479)</f>
        <v>49500</v>
      </c>
      <c r="F180" s="26">
        <f t="shared" si="17"/>
        <v>2062.5</v>
      </c>
      <c r="G180" s="4">
        <v>22</v>
      </c>
      <c r="H180" s="4">
        <f>_xlfn.XLOOKUP(A180,'MONTHLY ATTENDANCE SUMMARY'!A179:A478,'MONTHLY ATTENDANCE SUMMARY'!F179:F478)</f>
        <v>1</v>
      </c>
      <c r="I180" s="4">
        <f t="shared" si="18"/>
        <v>1</v>
      </c>
      <c r="J180" s="4">
        <f t="shared" si="19"/>
        <v>0</v>
      </c>
      <c r="K180" s="26">
        <f t="shared" si="20"/>
        <v>47437.5</v>
      </c>
      <c r="L180" s="26">
        <f t="shared" si="16"/>
        <v>5940</v>
      </c>
      <c r="M180" s="26">
        <f t="shared" si="21"/>
        <v>200</v>
      </c>
      <c r="N180" s="26">
        <f t="shared" si="22"/>
        <v>0</v>
      </c>
      <c r="O180" s="27">
        <f t="shared" si="23"/>
        <v>41297.5</v>
      </c>
    </row>
    <row r="181" spans="1:15" x14ac:dyDescent="0.3">
      <c r="A181" s="10" t="str">
        <v>EMP178</v>
      </c>
      <c r="B181" s="4" t="str">
        <v>Karthik Murugan</v>
      </c>
      <c r="C181" s="4" t="str">
        <f>_xlfn.XLOOKUP(A181,'EMPLOYEE MASTER DATA'!A181:A480,'EMPLOYEE MASTER DATA'!D181:D480)</f>
        <v>Admin</v>
      </c>
      <c r="D181" s="4" t="str">
        <f>_xlfn.XLOOKUP(A181,'EMPLOYEE MASTER DATA'!A181:A480,'EMPLOYEE MASTER DATA'!E181:E480)</f>
        <v>Facility Executive</v>
      </c>
      <c r="E181" s="26">
        <f>_xlfn.XLOOKUP(A181,'EMPLOYEE MASTER DATA'!A181:A480,'EMPLOYEE MASTER DATA'!F181:F480)</f>
        <v>25500</v>
      </c>
      <c r="F181" s="26">
        <f t="shared" si="17"/>
        <v>1062.5</v>
      </c>
      <c r="G181" s="4">
        <v>20</v>
      </c>
      <c r="H181" s="4">
        <f>_xlfn.XLOOKUP(A181,'MONTHLY ATTENDANCE SUMMARY'!A180:A479,'MONTHLY ATTENDANCE SUMMARY'!F180:F479)</f>
        <v>2</v>
      </c>
      <c r="I181" s="4">
        <f t="shared" si="18"/>
        <v>1</v>
      </c>
      <c r="J181" s="4">
        <f t="shared" si="19"/>
        <v>1</v>
      </c>
      <c r="K181" s="26">
        <f t="shared" si="20"/>
        <v>22843.75</v>
      </c>
      <c r="L181" s="26">
        <f t="shared" si="16"/>
        <v>3060</v>
      </c>
      <c r="M181" s="26">
        <f t="shared" si="21"/>
        <v>200</v>
      </c>
      <c r="N181" s="26">
        <f t="shared" si="22"/>
        <v>0</v>
      </c>
      <c r="O181" s="27">
        <f t="shared" si="23"/>
        <v>19583.75</v>
      </c>
    </row>
    <row r="182" spans="1:15" x14ac:dyDescent="0.3">
      <c r="A182" s="10" t="str">
        <v>EMP179</v>
      </c>
      <c r="B182" s="4" t="str">
        <v>Naveen Kannan</v>
      </c>
      <c r="C182" s="4" t="str">
        <f>_xlfn.XLOOKUP(A182,'EMPLOYEE MASTER DATA'!A182:A481,'EMPLOYEE MASTER DATA'!D182:D481)</f>
        <v>Production</v>
      </c>
      <c r="D182" s="4" t="str">
        <f>_xlfn.XLOOKUP(A182,'EMPLOYEE MASTER DATA'!A182:A481,'EMPLOYEE MASTER DATA'!E182:E481)</f>
        <v>Quality Inspector</v>
      </c>
      <c r="E182" s="26">
        <f>_xlfn.XLOOKUP(A182,'EMPLOYEE MASTER DATA'!A182:A481,'EMPLOYEE MASTER DATA'!F182:F481)</f>
        <v>28000</v>
      </c>
      <c r="F182" s="26">
        <f t="shared" si="17"/>
        <v>1166.6666666666667</v>
      </c>
      <c r="G182" s="4">
        <v>20</v>
      </c>
      <c r="H182" s="4">
        <f>_xlfn.XLOOKUP(A182,'MONTHLY ATTENDANCE SUMMARY'!A181:A480,'MONTHLY ATTENDANCE SUMMARY'!F181:F480)</f>
        <v>1</v>
      </c>
      <c r="I182" s="4">
        <f t="shared" si="18"/>
        <v>1</v>
      </c>
      <c r="J182" s="4">
        <f t="shared" si="19"/>
        <v>0</v>
      </c>
      <c r="K182" s="26">
        <f t="shared" si="20"/>
        <v>24500</v>
      </c>
      <c r="L182" s="26">
        <f t="shared" si="16"/>
        <v>3360</v>
      </c>
      <c r="M182" s="26">
        <f t="shared" si="21"/>
        <v>200</v>
      </c>
      <c r="N182" s="26">
        <f t="shared" si="22"/>
        <v>0</v>
      </c>
      <c r="O182" s="27">
        <f t="shared" si="23"/>
        <v>20940</v>
      </c>
    </row>
    <row r="183" spans="1:15" x14ac:dyDescent="0.3">
      <c r="A183" s="10" t="str">
        <v>EMP180</v>
      </c>
      <c r="B183" s="4" t="str">
        <v>Ramesh Kannan</v>
      </c>
      <c r="C183" s="4" t="str">
        <f>_xlfn.XLOOKUP(A183,'EMPLOYEE MASTER DATA'!A183:A482,'EMPLOYEE MASTER DATA'!D183:D482)</f>
        <v>Maintenance</v>
      </c>
      <c r="D183" s="4" t="str">
        <f>_xlfn.XLOOKUP(A183,'EMPLOYEE MASTER DATA'!A183:A482,'EMPLOYEE MASTER DATA'!E183:E482)</f>
        <v>Maintenance Supervisor</v>
      </c>
      <c r="E183" s="26">
        <f>_xlfn.XLOOKUP(A183,'EMPLOYEE MASTER DATA'!A183:A482,'EMPLOYEE MASTER DATA'!F183:F482)</f>
        <v>53500</v>
      </c>
      <c r="F183" s="26">
        <f t="shared" si="17"/>
        <v>2229.1666666666665</v>
      </c>
      <c r="G183" s="4">
        <v>16</v>
      </c>
      <c r="H183" s="4">
        <f>_xlfn.XLOOKUP(A183,'MONTHLY ATTENDANCE SUMMARY'!A182:A481,'MONTHLY ATTENDANCE SUMMARY'!F182:F481)</f>
        <v>1</v>
      </c>
      <c r="I183" s="4">
        <f t="shared" si="18"/>
        <v>1</v>
      </c>
      <c r="J183" s="4">
        <f t="shared" si="19"/>
        <v>0</v>
      </c>
      <c r="K183" s="26">
        <f t="shared" si="20"/>
        <v>37895.833333333328</v>
      </c>
      <c r="L183" s="26">
        <f t="shared" si="16"/>
        <v>6420</v>
      </c>
      <c r="M183" s="26">
        <f t="shared" si="21"/>
        <v>200</v>
      </c>
      <c r="N183" s="26">
        <f t="shared" si="22"/>
        <v>0</v>
      </c>
      <c r="O183" s="27">
        <f t="shared" si="23"/>
        <v>31275.833333333328</v>
      </c>
    </row>
    <row r="184" spans="1:15" x14ac:dyDescent="0.3">
      <c r="A184" s="10" t="str">
        <v>EMP181</v>
      </c>
      <c r="B184" s="4" t="str">
        <v>Manoj Narayanan</v>
      </c>
      <c r="C184" s="4" t="str">
        <f>_xlfn.XLOOKUP(A184,'EMPLOYEE MASTER DATA'!A184:A483,'EMPLOYEE MASTER DATA'!D184:D483)</f>
        <v>Accounts</v>
      </c>
      <c r="D184" s="4" t="str">
        <f>_xlfn.XLOOKUP(A184,'EMPLOYEE MASTER DATA'!A184:A483,'EMPLOYEE MASTER DATA'!E184:E483)</f>
        <v>Senior Accountant</v>
      </c>
      <c r="E184" s="26">
        <f>_xlfn.XLOOKUP(A184,'EMPLOYEE MASTER DATA'!A184:A483,'EMPLOYEE MASTER DATA'!F184:F483)</f>
        <v>54000</v>
      </c>
      <c r="F184" s="26">
        <f t="shared" si="17"/>
        <v>2250</v>
      </c>
      <c r="G184" s="4">
        <v>21</v>
      </c>
      <c r="H184" s="4">
        <f>_xlfn.XLOOKUP(A184,'MONTHLY ATTENDANCE SUMMARY'!A183:A482,'MONTHLY ATTENDANCE SUMMARY'!F183:F482)</f>
        <v>1</v>
      </c>
      <c r="I184" s="4">
        <f t="shared" si="18"/>
        <v>1</v>
      </c>
      <c r="J184" s="4">
        <f t="shared" si="19"/>
        <v>0</v>
      </c>
      <c r="K184" s="26">
        <f t="shared" si="20"/>
        <v>49500</v>
      </c>
      <c r="L184" s="26">
        <f t="shared" si="16"/>
        <v>6480</v>
      </c>
      <c r="M184" s="26">
        <f t="shared" si="21"/>
        <v>200</v>
      </c>
      <c r="N184" s="26">
        <f t="shared" si="22"/>
        <v>0</v>
      </c>
      <c r="O184" s="27">
        <f t="shared" si="23"/>
        <v>42820</v>
      </c>
    </row>
    <row r="185" spans="1:15" x14ac:dyDescent="0.3">
      <c r="A185" s="10" t="str">
        <v>EMP182</v>
      </c>
      <c r="B185" s="4" t="str">
        <v>Sathish Prasad</v>
      </c>
      <c r="C185" s="4" t="str">
        <f>_xlfn.XLOOKUP(A185,'EMPLOYEE MASTER DATA'!A185:A484,'EMPLOYEE MASTER DATA'!D185:D484)</f>
        <v>IT</v>
      </c>
      <c r="D185" s="4" t="str">
        <f>_xlfn.XLOOKUP(A185,'EMPLOYEE MASTER DATA'!A185:A484,'EMPLOYEE MASTER DATA'!E185:E484)</f>
        <v>IT Manager</v>
      </c>
      <c r="E185" s="26">
        <f>_xlfn.XLOOKUP(A185,'EMPLOYEE MASTER DATA'!A185:A484,'EMPLOYEE MASTER DATA'!F185:F484)</f>
        <v>83000</v>
      </c>
      <c r="F185" s="26">
        <f t="shared" si="17"/>
        <v>3458.3333333333335</v>
      </c>
      <c r="G185" s="4">
        <v>19</v>
      </c>
      <c r="H185" s="4">
        <f>_xlfn.XLOOKUP(A185,'MONTHLY ATTENDANCE SUMMARY'!A184:A483,'MONTHLY ATTENDANCE SUMMARY'!F184:F483)</f>
        <v>1</v>
      </c>
      <c r="I185" s="4">
        <f t="shared" si="18"/>
        <v>1</v>
      </c>
      <c r="J185" s="4">
        <f t="shared" si="19"/>
        <v>0</v>
      </c>
      <c r="K185" s="26">
        <f t="shared" si="20"/>
        <v>69166.666666666672</v>
      </c>
      <c r="L185" s="26">
        <f t="shared" si="16"/>
        <v>9960</v>
      </c>
      <c r="M185" s="26">
        <f t="shared" si="21"/>
        <v>200</v>
      </c>
      <c r="N185" s="26">
        <f t="shared" si="22"/>
        <v>0</v>
      </c>
      <c r="O185" s="27">
        <f t="shared" si="23"/>
        <v>59006.666666666672</v>
      </c>
    </row>
    <row r="186" spans="1:15" x14ac:dyDescent="0.3">
      <c r="A186" s="10" t="str">
        <v>EMP183</v>
      </c>
      <c r="B186" s="4" t="str">
        <v>Madhan N</v>
      </c>
      <c r="C186" s="4" t="str">
        <f>_xlfn.XLOOKUP(A186,'EMPLOYEE MASTER DATA'!A186:A485,'EMPLOYEE MASTER DATA'!D186:D485)</f>
        <v>Front Office</v>
      </c>
      <c r="D186" s="4" t="str">
        <f>_xlfn.XLOOKUP(A186,'EMPLOYEE MASTER DATA'!A186:A485,'EMPLOYEE MASTER DATA'!E186:E485)</f>
        <v>Front Desk Coordinator</v>
      </c>
      <c r="E186" s="26">
        <f>_xlfn.XLOOKUP(A186,'EMPLOYEE MASTER DATA'!A186:A485,'EMPLOYEE MASTER DATA'!F186:F485)</f>
        <v>26500</v>
      </c>
      <c r="F186" s="26">
        <f t="shared" si="17"/>
        <v>1104.1666666666667</v>
      </c>
      <c r="G186" s="4">
        <v>21</v>
      </c>
      <c r="H186" s="4">
        <f>_xlfn.XLOOKUP(A186,'MONTHLY ATTENDANCE SUMMARY'!A185:A484,'MONTHLY ATTENDANCE SUMMARY'!F185:F484)</f>
        <v>2</v>
      </c>
      <c r="I186" s="4">
        <f t="shared" si="18"/>
        <v>1</v>
      </c>
      <c r="J186" s="4">
        <f t="shared" si="19"/>
        <v>1</v>
      </c>
      <c r="K186" s="26">
        <f t="shared" si="20"/>
        <v>24843.75</v>
      </c>
      <c r="L186" s="26">
        <f t="shared" si="16"/>
        <v>3180</v>
      </c>
      <c r="M186" s="26">
        <f t="shared" si="21"/>
        <v>200</v>
      </c>
      <c r="N186" s="26">
        <f t="shared" si="22"/>
        <v>0</v>
      </c>
      <c r="O186" s="27">
        <f t="shared" si="23"/>
        <v>21463.75</v>
      </c>
    </row>
    <row r="187" spans="1:15" x14ac:dyDescent="0.3">
      <c r="A187" s="10" t="str">
        <v>EMP184</v>
      </c>
      <c r="B187" s="4" t="str">
        <v>Ramesh R</v>
      </c>
      <c r="C187" s="4" t="str">
        <f>_xlfn.XLOOKUP(A187,'EMPLOYEE MASTER DATA'!A187:A486,'EMPLOYEE MASTER DATA'!D187:D486)</f>
        <v>Admin</v>
      </c>
      <c r="D187" s="4" t="str">
        <f>_xlfn.XLOOKUP(A187,'EMPLOYEE MASTER DATA'!A187:A486,'EMPLOYEE MASTER DATA'!E187:E486)</f>
        <v>Admin Executive</v>
      </c>
      <c r="E187" s="26">
        <f>_xlfn.XLOOKUP(A187,'EMPLOYEE MASTER DATA'!A187:A486,'EMPLOYEE MASTER DATA'!F187:F486)</f>
        <v>25000</v>
      </c>
      <c r="F187" s="26">
        <f t="shared" si="17"/>
        <v>1041.6666666666667</v>
      </c>
      <c r="G187" s="4">
        <v>20</v>
      </c>
      <c r="H187" s="4">
        <f>_xlfn.XLOOKUP(A187,'MONTHLY ATTENDANCE SUMMARY'!A186:A485,'MONTHLY ATTENDANCE SUMMARY'!F186:F485)</f>
        <v>2</v>
      </c>
      <c r="I187" s="4">
        <f t="shared" si="18"/>
        <v>1</v>
      </c>
      <c r="J187" s="4">
        <f t="shared" si="19"/>
        <v>1</v>
      </c>
      <c r="K187" s="26">
        <f t="shared" si="20"/>
        <v>22395.833333333336</v>
      </c>
      <c r="L187" s="26">
        <f t="shared" si="16"/>
        <v>3000</v>
      </c>
      <c r="M187" s="26">
        <f t="shared" si="21"/>
        <v>200</v>
      </c>
      <c r="N187" s="26">
        <f t="shared" si="22"/>
        <v>0</v>
      </c>
      <c r="O187" s="27">
        <f t="shared" si="23"/>
        <v>19195.833333333336</v>
      </c>
    </row>
    <row r="188" spans="1:15" x14ac:dyDescent="0.3">
      <c r="A188" s="10" t="str">
        <v>EMP185</v>
      </c>
      <c r="B188" s="4" t="str">
        <v>Nithin R</v>
      </c>
      <c r="C188" s="4" t="str">
        <f>_xlfn.XLOOKUP(A188,'EMPLOYEE MASTER DATA'!A188:A487,'EMPLOYEE MASTER DATA'!D188:D487)</f>
        <v>Front Office</v>
      </c>
      <c r="D188" s="4" t="str">
        <f>_xlfn.XLOOKUP(A188,'EMPLOYEE MASTER DATA'!A188:A487,'EMPLOYEE MASTER DATA'!E188:E487)</f>
        <v>Front Office Executive</v>
      </c>
      <c r="E188" s="26">
        <f>_xlfn.XLOOKUP(A188,'EMPLOYEE MASTER DATA'!A188:A487,'EMPLOYEE MASTER DATA'!F188:F487)</f>
        <v>29000</v>
      </c>
      <c r="F188" s="26">
        <f t="shared" si="17"/>
        <v>1208.3333333333333</v>
      </c>
      <c r="G188" s="4">
        <v>19</v>
      </c>
      <c r="H188" s="4">
        <f>_xlfn.XLOOKUP(A188,'MONTHLY ATTENDANCE SUMMARY'!A187:A486,'MONTHLY ATTENDANCE SUMMARY'!F187:F486)</f>
        <v>1</v>
      </c>
      <c r="I188" s="4">
        <f t="shared" si="18"/>
        <v>1</v>
      </c>
      <c r="J188" s="4">
        <f t="shared" si="19"/>
        <v>0</v>
      </c>
      <c r="K188" s="26">
        <f t="shared" si="20"/>
        <v>24166.666666666664</v>
      </c>
      <c r="L188" s="26">
        <f t="shared" si="16"/>
        <v>3480</v>
      </c>
      <c r="M188" s="26">
        <f t="shared" si="21"/>
        <v>200</v>
      </c>
      <c r="N188" s="26">
        <f t="shared" si="22"/>
        <v>0</v>
      </c>
      <c r="O188" s="27">
        <f t="shared" si="23"/>
        <v>20486.666666666664</v>
      </c>
    </row>
    <row r="189" spans="1:15" x14ac:dyDescent="0.3">
      <c r="A189" s="10" t="str">
        <v>EMP186</v>
      </c>
      <c r="B189" s="4" t="str">
        <v>Arun Narayanan</v>
      </c>
      <c r="C189" s="4" t="str">
        <f>_xlfn.XLOOKUP(A189,'EMPLOYEE MASTER DATA'!A189:A488,'EMPLOYEE MASTER DATA'!D189:D488)</f>
        <v>Back End</v>
      </c>
      <c r="D189" s="4" t="str">
        <f>_xlfn.XLOOKUP(A189,'EMPLOYEE MASTER DATA'!A189:A488,'EMPLOYEE MASTER DATA'!E189:E488)</f>
        <v>Operations Executive</v>
      </c>
      <c r="E189" s="26">
        <f>_xlfn.XLOOKUP(A189,'EMPLOYEE MASTER DATA'!A189:A488,'EMPLOYEE MASTER DATA'!F189:F488)</f>
        <v>28500</v>
      </c>
      <c r="F189" s="26">
        <f t="shared" si="17"/>
        <v>1187.5</v>
      </c>
      <c r="G189" s="4">
        <v>22</v>
      </c>
      <c r="H189" s="4">
        <f>_xlfn.XLOOKUP(A189,'MONTHLY ATTENDANCE SUMMARY'!A188:A487,'MONTHLY ATTENDANCE SUMMARY'!F188:F487)</f>
        <v>1</v>
      </c>
      <c r="I189" s="4">
        <f t="shared" si="18"/>
        <v>1</v>
      </c>
      <c r="J189" s="4">
        <f t="shared" si="19"/>
        <v>0</v>
      </c>
      <c r="K189" s="26">
        <f t="shared" si="20"/>
        <v>27312.5</v>
      </c>
      <c r="L189" s="26">
        <f t="shared" si="16"/>
        <v>3420</v>
      </c>
      <c r="M189" s="26">
        <f t="shared" si="21"/>
        <v>200</v>
      </c>
      <c r="N189" s="26">
        <f t="shared" si="22"/>
        <v>0</v>
      </c>
      <c r="O189" s="27">
        <f t="shared" si="23"/>
        <v>23692.5</v>
      </c>
    </row>
    <row r="190" spans="1:15" x14ac:dyDescent="0.3">
      <c r="A190" s="10" t="str">
        <v>EMP187</v>
      </c>
      <c r="B190" s="4" t="str">
        <v>Lokesh Raj</v>
      </c>
      <c r="C190" s="4" t="str">
        <f>_xlfn.XLOOKUP(A190,'EMPLOYEE MASTER DATA'!A190:A489,'EMPLOYEE MASTER DATA'!D190:D489)</f>
        <v>Business Development</v>
      </c>
      <c r="D190" s="4" t="str">
        <f>_xlfn.XLOOKUP(A190,'EMPLOYEE MASTER DATA'!A190:A489,'EMPLOYEE MASTER DATA'!E190:E489)</f>
        <v>Business Development Manager</v>
      </c>
      <c r="E190" s="26">
        <f>_xlfn.XLOOKUP(A190,'EMPLOYEE MASTER DATA'!A190:A489,'EMPLOYEE MASTER DATA'!F190:F489)</f>
        <v>64000</v>
      </c>
      <c r="F190" s="26">
        <f t="shared" si="17"/>
        <v>2666.6666666666665</v>
      </c>
      <c r="G190" s="4">
        <v>21</v>
      </c>
      <c r="H190" s="4">
        <f>_xlfn.XLOOKUP(A190,'MONTHLY ATTENDANCE SUMMARY'!A189:A488,'MONTHLY ATTENDANCE SUMMARY'!F189:F488)</f>
        <v>1</v>
      </c>
      <c r="I190" s="4">
        <f t="shared" si="18"/>
        <v>1</v>
      </c>
      <c r="J190" s="4">
        <f t="shared" si="19"/>
        <v>0</v>
      </c>
      <c r="K190" s="26">
        <f t="shared" si="20"/>
        <v>58666.666666666664</v>
      </c>
      <c r="L190" s="26">
        <f t="shared" si="16"/>
        <v>7680</v>
      </c>
      <c r="M190" s="26">
        <f t="shared" si="21"/>
        <v>200</v>
      </c>
      <c r="N190" s="26">
        <f t="shared" si="22"/>
        <v>0</v>
      </c>
      <c r="O190" s="27">
        <f t="shared" si="23"/>
        <v>50786.666666666664</v>
      </c>
    </row>
    <row r="191" spans="1:15" x14ac:dyDescent="0.3">
      <c r="A191" s="10" t="str">
        <v>EMP188</v>
      </c>
      <c r="B191" s="4" t="str">
        <v>Dinesh N</v>
      </c>
      <c r="C191" s="4" t="str">
        <f>_xlfn.XLOOKUP(A191,'EMPLOYEE MASTER DATA'!A191:A490,'EMPLOYEE MASTER DATA'!D191:D490)</f>
        <v>Maintenance</v>
      </c>
      <c r="D191" s="4" t="str">
        <f>_xlfn.XLOOKUP(A191,'EMPLOYEE MASTER DATA'!A191:A490,'EMPLOYEE MASTER DATA'!E191:E490)</f>
        <v>Maintenance Manager</v>
      </c>
      <c r="E191" s="26">
        <f>_xlfn.XLOOKUP(A191,'EMPLOYEE MASTER DATA'!A191:A490,'EMPLOYEE MASTER DATA'!F191:F490)</f>
        <v>75500</v>
      </c>
      <c r="F191" s="26">
        <f t="shared" si="17"/>
        <v>3145.8333333333335</v>
      </c>
      <c r="G191" s="4">
        <v>18</v>
      </c>
      <c r="H191" s="4">
        <f>_xlfn.XLOOKUP(A191,'MONTHLY ATTENDANCE SUMMARY'!A190:A489,'MONTHLY ATTENDANCE SUMMARY'!F190:F489)</f>
        <v>1</v>
      </c>
      <c r="I191" s="4">
        <f t="shared" si="18"/>
        <v>1</v>
      </c>
      <c r="J191" s="4">
        <f t="shared" si="19"/>
        <v>0</v>
      </c>
      <c r="K191" s="26">
        <f t="shared" si="20"/>
        <v>59770.833333333336</v>
      </c>
      <c r="L191" s="26">
        <f t="shared" si="16"/>
        <v>9060</v>
      </c>
      <c r="M191" s="26">
        <f t="shared" si="21"/>
        <v>200</v>
      </c>
      <c r="N191" s="26">
        <f t="shared" si="22"/>
        <v>0</v>
      </c>
      <c r="O191" s="27">
        <f t="shared" si="23"/>
        <v>50510.833333333336</v>
      </c>
    </row>
    <row r="192" spans="1:15" x14ac:dyDescent="0.3">
      <c r="A192" s="10" t="str">
        <v>EMP189</v>
      </c>
      <c r="B192" s="4" t="str">
        <v>Saravanan M</v>
      </c>
      <c r="C192" s="4" t="str">
        <f>_xlfn.XLOOKUP(A192,'EMPLOYEE MASTER DATA'!A192:A491,'EMPLOYEE MASTER DATA'!D192:D491)</f>
        <v>Back End</v>
      </c>
      <c r="D192" s="4" t="str">
        <f>_xlfn.XLOOKUP(A192,'EMPLOYEE MASTER DATA'!A192:A491,'EMPLOYEE MASTER DATA'!E192:E491)</f>
        <v>Documentation Executive</v>
      </c>
      <c r="E192" s="26">
        <f>_xlfn.XLOOKUP(A192,'EMPLOYEE MASTER DATA'!A192:A491,'EMPLOYEE MASTER DATA'!F192:F491)</f>
        <v>25000</v>
      </c>
      <c r="F192" s="26">
        <f t="shared" si="17"/>
        <v>1041.6666666666667</v>
      </c>
      <c r="G192" s="4">
        <v>18</v>
      </c>
      <c r="H192" s="4">
        <f>_xlfn.XLOOKUP(A192,'MONTHLY ATTENDANCE SUMMARY'!A191:A490,'MONTHLY ATTENDANCE SUMMARY'!F191:F490)</f>
        <v>2</v>
      </c>
      <c r="I192" s="4">
        <f t="shared" si="18"/>
        <v>1</v>
      </c>
      <c r="J192" s="4">
        <f t="shared" si="19"/>
        <v>1</v>
      </c>
      <c r="K192" s="26">
        <f t="shared" si="20"/>
        <v>20312.5</v>
      </c>
      <c r="L192" s="26">
        <f t="shared" si="16"/>
        <v>3000</v>
      </c>
      <c r="M192" s="26">
        <f t="shared" si="21"/>
        <v>0</v>
      </c>
      <c r="N192" s="26">
        <f t="shared" si="22"/>
        <v>152.34375</v>
      </c>
      <c r="O192" s="27">
        <f t="shared" si="23"/>
        <v>17160.15625</v>
      </c>
    </row>
    <row r="193" spans="1:15" x14ac:dyDescent="0.3">
      <c r="A193" s="10" t="str">
        <v>EMP190</v>
      </c>
      <c r="B193" s="4" t="str">
        <v>Prakash Krishnan</v>
      </c>
      <c r="C193" s="4" t="str">
        <f>_xlfn.XLOOKUP(A193,'EMPLOYEE MASTER DATA'!A193:A492,'EMPLOYEE MASTER DATA'!D193:D492)</f>
        <v>Admin</v>
      </c>
      <c r="D193" s="4" t="str">
        <f>_xlfn.XLOOKUP(A193,'EMPLOYEE MASTER DATA'!A193:A492,'EMPLOYEE MASTER DATA'!E193:E492)</f>
        <v>Office Administrator</v>
      </c>
      <c r="E193" s="26">
        <f>_xlfn.XLOOKUP(A193,'EMPLOYEE MASTER DATA'!A193:A492,'EMPLOYEE MASTER DATA'!F193:F492)</f>
        <v>25500</v>
      </c>
      <c r="F193" s="26">
        <f t="shared" si="17"/>
        <v>1062.5</v>
      </c>
      <c r="G193" s="4">
        <v>20</v>
      </c>
      <c r="H193" s="4">
        <f>_xlfn.XLOOKUP(A193,'MONTHLY ATTENDANCE SUMMARY'!A192:A491,'MONTHLY ATTENDANCE SUMMARY'!F192:F491)</f>
        <v>2</v>
      </c>
      <c r="I193" s="4">
        <f t="shared" si="18"/>
        <v>1</v>
      </c>
      <c r="J193" s="4">
        <f t="shared" si="19"/>
        <v>1</v>
      </c>
      <c r="K193" s="26">
        <f t="shared" si="20"/>
        <v>22843.75</v>
      </c>
      <c r="L193" s="26">
        <f t="shared" si="16"/>
        <v>3060</v>
      </c>
      <c r="M193" s="26">
        <f t="shared" si="21"/>
        <v>200</v>
      </c>
      <c r="N193" s="26">
        <f t="shared" si="22"/>
        <v>0</v>
      </c>
      <c r="O193" s="27">
        <f t="shared" si="23"/>
        <v>19583.75</v>
      </c>
    </row>
    <row r="194" spans="1:15" x14ac:dyDescent="0.3">
      <c r="A194" s="10" t="str">
        <v>EMP191</v>
      </c>
      <c r="B194" s="4" t="str">
        <v>Saravanan S</v>
      </c>
      <c r="C194" s="4" t="str">
        <f>_xlfn.XLOOKUP(A194,'EMPLOYEE MASTER DATA'!A194:A493,'EMPLOYEE MASTER DATA'!D194:D493)</f>
        <v>Admin</v>
      </c>
      <c r="D194" s="4" t="str">
        <f>_xlfn.XLOOKUP(A194,'EMPLOYEE MASTER DATA'!A194:A493,'EMPLOYEE MASTER DATA'!E194:E493)</f>
        <v>Office Administrator</v>
      </c>
      <c r="E194" s="26">
        <f>_xlfn.XLOOKUP(A194,'EMPLOYEE MASTER DATA'!A194:A493,'EMPLOYEE MASTER DATA'!F194:F493)</f>
        <v>34000</v>
      </c>
      <c r="F194" s="26">
        <f t="shared" si="17"/>
        <v>1416.6666666666667</v>
      </c>
      <c r="G194" s="4">
        <v>21</v>
      </c>
      <c r="H194" s="4">
        <f>_xlfn.XLOOKUP(A194,'MONTHLY ATTENDANCE SUMMARY'!A193:A492,'MONTHLY ATTENDANCE SUMMARY'!F193:F492)</f>
        <v>2</v>
      </c>
      <c r="I194" s="4">
        <f t="shared" si="18"/>
        <v>1</v>
      </c>
      <c r="J194" s="4">
        <f t="shared" si="19"/>
        <v>1</v>
      </c>
      <c r="K194" s="26">
        <f t="shared" si="20"/>
        <v>31875</v>
      </c>
      <c r="L194" s="26">
        <f t="shared" si="16"/>
        <v>4080</v>
      </c>
      <c r="M194" s="26">
        <f t="shared" si="21"/>
        <v>200</v>
      </c>
      <c r="N194" s="26">
        <f t="shared" si="22"/>
        <v>0</v>
      </c>
      <c r="O194" s="27">
        <f t="shared" si="23"/>
        <v>27595</v>
      </c>
    </row>
    <row r="195" spans="1:15" x14ac:dyDescent="0.3">
      <c r="A195" s="10" t="str">
        <v>EMP192</v>
      </c>
      <c r="B195" s="4" t="str">
        <v>Ajay B</v>
      </c>
      <c r="C195" s="4" t="str">
        <f>_xlfn.XLOOKUP(A195,'EMPLOYEE MASTER DATA'!A195:A494,'EMPLOYEE MASTER DATA'!D195:D494)</f>
        <v>Business Development</v>
      </c>
      <c r="D195" s="4" t="str">
        <f>_xlfn.XLOOKUP(A195,'EMPLOYEE MASTER DATA'!A195:A494,'EMPLOYEE MASTER DATA'!E195:E494)</f>
        <v>Business Development Manager</v>
      </c>
      <c r="E195" s="26">
        <f>_xlfn.XLOOKUP(A195,'EMPLOYEE MASTER DATA'!A195:A494,'EMPLOYEE MASTER DATA'!F195:F494)</f>
        <v>60500</v>
      </c>
      <c r="F195" s="26">
        <f t="shared" si="17"/>
        <v>2520.8333333333335</v>
      </c>
      <c r="G195" s="4">
        <v>22</v>
      </c>
      <c r="H195" s="4">
        <f>_xlfn.XLOOKUP(A195,'MONTHLY ATTENDANCE SUMMARY'!A194:A493,'MONTHLY ATTENDANCE SUMMARY'!F194:F493)</f>
        <v>1</v>
      </c>
      <c r="I195" s="4">
        <f t="shared" si="18"/>
        <v>1</v>
      </c>
      <c r="J195" s="4">
        <f t="shared" si="19"/>
        <v>0</v>
      </c>
      <c r="K195" s="26">
        <f t="shared" si="20"/>
        <v>57979.166666666672</v>
      </c>
      <c r="L195" s="26">
        <f t="shared" si="16"/>
        <v>7260</v>
      </c>
      <c r="M195" s="26">
        <f t="shared" si="21"/>
        <v>200</v>
      </c>
      <c r="N195" s="26">
        <f t="shared" si="22"/>
        <v>0</v>
      </c>
      <c r="O195" s="27">
        <f t="shared" si="23"/>
        <v>50519.166666666672</v>
      </c>
    </row>
    <row r="196" spans="1:15" x14ac:dyDescent="0.3">
      <c r="A196" s="10" t="str">
        <v>EMP193</v>
      </c>
      <c r="B196" s="4" t="str">
        <v>Suresh P</v>
      </c>
      <c r="C196" s="4" t="str">
        <f>_xlfn.XLOOKUP(A196,'EMPLOYEE MASTER DATA'!A196:A495,'EMPLOYEE MASTER DATA'!D196:D495)</f>
        <v>Admin</v>
      </c>
      <c r="D196" s="4" t="str">
        <f>_xlfn.XLOOKUP(A196,'EMPLOYEE MASTER DATA'!A196:A495,'EMPLOYEE MASTER DATA'!E196:E495)</f>
        <v>Facility Executive</v>
      </c>
      <c r="E196" s="26">
        <f>_xlfn.XLOOKUP(A196,'EMPLOYEE MASTER DATA'!A196:A495,'EMPLOYEE MASTER DATA'!F196:F495)</f>
        <v>25500</v>
      </c>
      <c r="F196" s="26">
        <f t="shared" si="17"/>
        <v>1062.5</v>
      </c>
      <c r="G196" s="4">
        <v>21</v>
      </c>
      <c r="H196" s="4">
        <f>_xlfn.XLOOKUP(A196,'MONTHLY ATTENDANCE SUMMARY'!A195:A494,'MONTHLY ATTENDANCE SUMMARY'!F195:F494)</f>
        <v>1</v>
      </c>
      <c r="I196" s="4">
        <f t="shared" si="18"/>
        <v>1</v>
      </c>
      <c r="J196" s="4">
        <f t="shared" si="19"/>
        <v>0</v>
      </c>
      <c r="K196" s="26">
        <f t="shared" si="20"/>
        <v>23375</v>
      </c>
      <c r="L196" s="26">
        <f t="shared" ref="L196:L259" si="24">E196*12%</f>
        <v>3060</v>
      </c>
      <c r="M196" s="26">
        <f t="shared" si="21"/>
        <v>200</v>
      </c>
      <c r="N196" s="26">
        <f t="shared" si="22"/>
        <v>0</v>
      </c>
      <c r="O196" s="27">
        <f t="shared" si="23"/>
        <v>20115</v>
      </c>
    </row>
    <row r="197" spans="1:15" x14ac:dyDescent="0.3">
      <c r="A197" s="10" t="str">
        <v>EMP194</v>
      </c>
      <c r="B197" s="4" t="str">
        <v>Bharath Krishnan</v>
      </c>
      <c r="C197" s="4" t="str">
        <f>_xlfn.XLOOKUP(A197,'EMPLOYEE MASTER DATA'!A197:A496,'EMPLOYEE MASTER DATA'!D197:D496)</f>
        <v>Procurement</v>
      </c>
      <c r="D197" s="4" t="str">
        <f>_xlfn.XLOOKUP(A197,'EMPLOYEE MASTER DATA'!A197:A496,'EMPLOYEE MASTER DATA'!E197:E496)</f>
        <v>Sourcing Executive</v>
      </c>
      <c r="E197" s="26">
        <f>_xlfn.XLOOKUP(A197,'EMPLOYEE MASTER DATA'!A197:A496,'EMPLOYEE MASTER DATA'!F197:F496)</f>
        <v>32000</v>
      </c>
      <c r="F197" s="26">
        <f t="shared" ref="F197:F260" si="25">E197/24</f>
        <v>1333.3333333333333</v>
      </c>
      <c r="G197" s="4">
        <v>22</v>
      </c>
      <c r="H197" s="4">
        <f>_xlfn.XLOOKUP(A197,'MONTHLY ATTENDANCE SUMMARY'!A196:A495,'MONTHLY ATTENDANCE SUMMARY'!F196:F495)</f>
        <v>2</v>
      </c>
      <c r="I197" s="4">
        <f t="shared" ref="I197:I260" si="26">MIN(H197,1)</f>
        <v>1</v>
      </c>
      <c r="J197" s="4">
        <f t="shared" ref="J197:J260" si="27">MAX(H197-1,0)</f>
        <v>1</v>
      </c>
      <c r="K197" s="26">
        <f t="shared" ref="K197:K260" si="28">F197*(G197+I197+(J197*0.5))</f>
        <v>31333.333333333332</v>
      </c>
      <c r="L197" s="26">
        <f t="shared" si="24"/>
        <v>3840</v>
      </c>
      <c r="M197" s="26">
        <f t="shared" ref="M197:M260" si="29">IF(K197&gt;=21000,200,0)</f>
        <v>200</v>
      </c>
      <c r="N197" s="26">
        <f t="shared" ref="N197:N260" si="30">IF(K197&lt;=21000,K197*0.75%,0)</f>
        <v>0</v>
      </c>
      <c r="O197" s="27">
        <f t="shared" ref="O197:O260" si="31">K197-SUM(L197:N197)</f>
        <v>27293.333333333332</v>
      </c>
    </row>
    <row r="198" spans="1:15" x14ac:dyDescent="0.3">
      <c r="A198" s="10" t="str">
        <v>EMP195</v>
      </c>
      <c r="B198" s="4" t="str">
        <v>Vinoth R</v>
      </c>
      <c r="C198" s="4" t="str">
        <f>_xlfn.XLOOKUP(A198,'EMPLOYEE MASTER DATA'!A198:A497,'EMPLOYEE MASTER DATA'!D198:D497)</f>
        <v>Procurement</v>
      </c>
      <c r="D198" s="4" t="str">
        <f>_xlfn.XLOOKUP(A198,'EMPLOYEE MASTER DATA'!A198:A497,'EMPLOYEE MASTER DATA'!E198:E497)</f>
        <v>Purchase Executive</v>
      </c>
      <c r="E198" s="26">
        <f>_xlfn.XLOOKUP(A198,'EMPLOYEE MASTER DATA'!A198:A497,'EMPLOYEE MASTER DATA'!F198:F497)</f>
        <v>27500</v>
      </c>
      <c r="F198" s="26">
        <f t="shared" si="25"/>
        <v>1145.8333333333333</v>
      </c>
      <c r="G198" s="4">
        <v>18</v>
      </c>
      <c r="H198" s="4">
        <f>_xlfn.XLOOKUP(A198,'MONTHLY ATTENDANCE SUMMARY'!A197:A496,'MONTHLY ATTENDANCE SUMMARY'!F197:F496)</f>
        <v>1</v>
      </c>
      <c r="I198" s="4">
        <f t="shared" si="26"/>
        <v>1</v>
      </c>
      <c r="J198" s="4">
        <f t="shared" si="27"/>
        <v>0</v>
      </c>
      <c r="K198" s="26">
        <f t="shared" si="28"/>
        <v>21770.833333333332</v>
      </c>
      <c r="L198" s="26">
        <f t="shared" si="24"/>
        <v>3300</v>
      </c>
      <c r="M198" s="26">
        <f t="shared" si="29"/>
        <v>200</v>
      </c>
      <c r="N198" s="26">
        <f t="shared" si="30"/>
        <v>0</v>
      </c>
      <c r="O198" s="27">
        <f t="shared" si="31"/>
        <v>18270.833333333332</v>
      </c>
    </row>
    <row r="199" spans="1:15" x14ac:dyDescent="0.3">
      <c r="A199" s="10" t="str">
        <v>EMP196</v>
      </c>
      <c r="B199" s="4" t="str">
        <v>Lokesh Raja</v>
      </c>
      <c r="C199" s="4" t="str">
        <f>_xlfn.XLOOKUP(A199,'EMPLOYEE MASTER DATA'!A199:A498,'EMPLOYEE MASTER DATA'!D199:D498)</f>
        <v>HR</v>
      </c>
      <c r="D199" s="4" t="str">
        <f>_xlfn.XLOOKUP(A199,'EMPLOYEE MASTER DATA'!A199:A498,'EMPLOYEE MASTER DATA'!E199:E498)</f>
        <v>Payroll Executive</v>
      </c>
      <c r="E199" s="26">
        <f>_xlfn.XLOOKUP(A199,'EMPLOYEE MASTER DATA'!A199:A498,'EMPLOYEE MASTER DATA'!F199:F498)</f>
        <v>29500</v>
      </c>
      <c r="F199" s="26">
        <f t="shared" si="25"/>
        <v>1229.1666666666667</v>
      </c>
      <c r="G199" s="4">
        <v>18</v>
      </c>
      <c r="H199" s="4">
        <f>_xlfn.XLOOKUP(A199,'MONTHLY ATTENDANCE SUMMARY'!A198:A497,'MONTHLY ATTENDANCE SUMMARY'!F198:F497)</f>
        <v>2</v>
      </c>
      <c r="I199" s="4">
        <f t="shared" si="26"/>
        <v>1</v>
      </c>
      <c r="J199" s="4">
        <f t="shared" si="27"/>
        <v>1</v>
      </c>
      <c r="K199" s="26">
        <f t="shared" si="28"/>
        <v>23968.75</v>
      </c>
      <c r="L199" s="26">
        <f t="shared" si="24"/>
        <v>3540</v>
      </c>
      <c r="M199" s="26">
        <f t="shared" si="29"/>
        <v>200</v>
      </c>
      <c r="N199" s="26">
        <f t="shared" si="30"/>
        <v>0</v>
      </c>
      <c r="O199" s="27">
        <f t="shared" si="31"/>
        <v>20228.75</v>
      </c>
    </row>
    <row r="200" spans="1:15" x14ac:dyDescent="0.3">
      <c r="A200" s="10" t="str">
        <v>EMP197</v>
      </c>
      <c r="B200" s="4" t="str">
        <v>Mohan K</v>
      </c>
      <c r="C200" s="4" t="str">
        <f>_xlfn.XLOOKUP(A200,'EMPLOYEE MASTER DATA'!A200:A499,'EMPLOYEE MASTER DATA'!D200:D499)</f>
        <v>IT</v>
      </c>
      <c r="D200" s="4" t="str">
        <f>_xlfn.XLOOKUP(A200,'EMPLOYEE MASTER DATA'!A200:A499,'EMPLOYEE MASTER DATA'!E200:E499)</f>
        <v>IT Manager</v>
      </c>
      <c r="E200" s="26">
        <f>_xlfn.XLOOKUP(A200,'EMPLOYEE MASTER DATA'!A200:A499,'EMPLOYEE MASTER DATA'!F200:F499)</f>
        <v>92000</v>
      </c>
      <c r="F200" s="26">
        <f t="shared" si="25"/>
        <v>3833.3333333333335</v>
      </c>
      <c r="G200" s="4">
        <v>22</v>
      </c>
      <c r="H200" s="4">
        <f>_xlfn.XLOOKUP(A200,'MONTHLY ATTENDANCE SUMMARY'!A199:A498,'MONTHLY ATTENDANCE SUMMARY'!F199:F498)</f>
        <v>1</v>
      </c>
      <c r="I200" s="4">
        <f t="shared" si="26"/>
        <v>1</v>
      </c>
      <c r="J200" s="4">
        <f t="shared" si="27"/>
        <v>0</v>
      </c>
      <c r="K200" s="26">
        <f t="shared" si="28"/>
        <v>88166.666666666672</v>
      </c>
      <c r="L200" s="26">
        <f t="shared" si="24"/>
        <v>11040</v>
      </c>
      <c r="M200" s="26">
        <f t="shared" si="29"/>
        <v>200</v>
      </c>
      <c r="N200" s="26">
        <f t="shared" si="30"/>
        <v>0</v>
      </c>
      <c r="O200" s="27">
        <f t="shared" si="31"/>
        <v>76926.666666666672</v>
      </c>
    </row>
    <row r="201" spans="1:15" x14ac:dyDescent="0.3">
      <c r="A201" s="10" t="str">
        <v>EMP198</v>
      </c>
      <c r="B201" s="4" t="str">
        <v>Ajay Narayanan</v>
      </c>
      <c r="C201" s="4" t="str">
        <f>_xlfn.XLOOKUP(A201,'EMPLOYEE MASTER DATA'!A201:A500,'EMPLOYEE MASTER DATA'!D201:D500)</f>
        <v>Back End</v>
      </c>
      <c r="D201" s="4" t="str">
        <f>_xlfn.XLOOKUP(A201,'EMPLOYEE MASTER DATA'!A201:A500,'EMPLOYEE MASTER DATA'!E201:E500)</f>
        <v>Documentation Executive</v>
      </c>
      <c r="E201" s="26">
        <f>_xlfn.XLOOKUP(A201,'EMPLOYEE MASTER DATA'!A201:A500,'EMPLOYEE MASTER DATA'!F201:F500)</f>
        <v>29500</v>
      </c>
      <c r="F201" s="26">
        <f t="shared" si="25"/>
        <v>1229.1666666666667</v>
      </c>
      <c r="G201" s="4">
        <v>18</v>
      </c>
      <c r="H201" s="4">
        <f>_xlfn.XLOOKUP(A201,'MONTHLY ATTENDANCE SUMMARY'!A200:A499,'MONTHLY ATTENDANCE SUMMARY'!F200:F499)</f>
        <v>1</v>
      </c>
      <c r="I201" s="4">
        <f t="shared" si="26"/>
        <v>1</v>
      </c>
      <c r="J201" s="4">
        <f t="shared" si="27"/>
        <v>0</v>
      </c>
      <c r="K201" s="26">
        <f t="shared" si="28"/>
        <v>23354.166666666668</v>
      </c>
      <c r="L201" s="26">
        <f t="shared" si="24"/>
        <v>3540</v>
      </c>
      <c r="M201" s="26">
        <f t="shared" si="29"/>
        <v>200</v>
      </c>
      <c r="N201" s="26">
        <f t="shared" si="30"/>
        <v>0</v>
      </c>
      <c r="O201" s="27">
        <f t="shared" si="31"/>
        <v>19614.166666666668</v>
      </c>
    </row>
    <row r="202" spans="1:15" x14ac:dyDescent="0.3">
      <c r="A202" s="10" t="str">
        <v>EMP199</v>
      </c>
      <c r="B202" s="4" t="str">
        <v>Ashwin Kumar</v>
      </c>
      <c r="C202" s="4" t="str">
        <f>_xlfn.XLOOKUP(A202,'EMPLOYEE MASTER DATA'!A202:A501,'EMPLOYEE MASTER DATA'!D202:D501)</f>
        <v>Production</v>
      </c>
      <c r="D202" s="4" t="str">
        <f>_xlfn.XLOOKUP(A202,'EMPLOYEE MASTER DATA'!A202:A501,'EMPLOYEE MASTER DATA'!E202:E501)</f>
        <v>Production Supervisor</v>
      </c>
      <c r="E202" s="26">
        <f>_xlfn.XLOOKUP(A202,'EMPLOYEE MASTER DATA'!A202:A501,'EMPLOYEE MASTER DATA'!F202:F501)</f>
        <v>39000</v>
      </c>
      <c r="F202" s="26">
        <f t="shared" si="25"/>
        <v>1625</v>
      </c>
      <c r="G202" s="4">
        <v>18</v>
      </c>
      <c r="H202" s="4">
        <f>_xlfn.XLOOKUP(A202,'MONTHLY ATTENDANCE SUMMARY'!A201:A500,'MONTHLY ATTENDANCE SUMMARY'!F201:F500)</f>
        <v>1</v>
      </c>
      <c r="I202" s="4">
        <f t="shared" si="26"/>
        <v>1</v>
      </c>
      <c r="J202" s="4">
        <f t="shared" si="27"/>
        <v>0</v>
      </c>
      <c r="K202" s="26">
        <f t="shared" si="28"/>
        <v>30875</v>
      </c>
      <c r="L202" s="26">
        <f t="shared" si="24"/>
        <v>4680</v>
      </c>
      <c r="M202" s="26">
        <f t="shared" si="29"/>
        <v>200</v>
      </c>
      <c r="N202" s="26">
        <f t="shared" si="30"/>
        <v>0</v>
      </c>
      <c r="O202" s="27">
        <f t="shared" si="31"/>
        <v>25995</v>
      </c>
    </row>
    <row r="203" spans="1:15" x14ac:dyDescent="0.3">
      <c r="A203" s="10" t="str">
        <v>EMP200</v>
      </c>
      <c r="B203" s="4" t="str">
        <v>Vijay B</v>
      </c>
      <c r="C203" s="4" t="str">
        <f>_xlfn.XLOOKUP(A203,'EMPLOYEE MASTER DATA'!A203:A502,'EMPLOYEE MASTER DATA'!D203:D502)</f>
        <v>Back End</v>
      </c>
      <c r="D203" s="4" t="str">
        <f>_xlfn.XLOOKUP(A203,'EMPLOYEE MASTER DATA'!A203:A502,'EMPLOYEE MASTER DATA'!E203:E502)</f>
        <v>Operations Manager</v>
      </c>
      <c r="E203" s="26">
        <f>_xlfn.XLOOKUP(A203,'EMPLOYEE MASTER DATA'!A203:A502,'EMPLOYEE MASTER DATA'!F203:F502)</f>
        <v>77000</v>
      </c>
      <c r="F203" s="26">
        <f t="shared" si="25"/>
        <v>3208.3333333333335</v>
      </c>
      <c r="G203" s="4">
        <v>20</v>
      </c>
      <c r="H203" s="4">
        <f>_xlfn.XLOOKUP(A203,'MONTHLY ATTENDANCE SUMMARY'!A202:A501,'MONTHLY ATTENDANCE SUMMARY'!F202:F501)</f>
        <v>2</v>
      </c>
      <c r="I203" s="4">
        <f t="shared" si="26"/>
        <v>1</v>
      </c>
      <c r="J203" s="4">
        <f t="shared" si="27"/>
        <v>1</v>
      </c>
      <c r="K203" s="26">
        <f t="shared" si="28"/>
        <v>68979.166666666672</v>
      </c>
      <c r="L203" s="26">
        <f t="shared" si="24"/>
        <v>9240</v>
      </c>
      <c r="M203" s="26">
        <f t="shared" si="29"/>
        <v>200</v>
      </c>
      <c r="N203" s="26">
        <f t="shared" si="30"/>
        <v>0</v>
      </c>
      <c r="O203" s="27">
        <f t="shared" si="31"/>
        <v>59539.166666666672</v>
      </c>
    </row>
    <row r="204" spans="1:15" x14ac:dyDescent="0.3">
      <c r="A204" s="10" t="str">
        <v>EMP201</v>
      </c>
      <c r="B204" s="4" t="str">
        <v>Bharath Narayanan</v>
      </c>
      <c r="C204" s="4" t="str">
        <f>_xlfn.XLOOKUP(A204,'EMPLOYEE MASTER DATA'!A204:A503,'EMPLOYEE MASTER DATA'!D204:D503)</f>
        <v>Production</v>
      </c>
      <c r="D204" s="4" t="str">
        <f>_xlfn.XLOOKUP(A204,'EMPLOYEE MASTER DATA'!A204:A503,'EMPLOYEE MASTER DATA'!E204:E503)</f>
        <v>Production Manager</v>
      </c>
      <c r="E204" s="26">
        <f>_xlfn.XLOOKUP(A204,'EMPLOYEE MASTER DATA'!A204:A503,'EMPLOYEE MASTER DATA'!F204:F503)</f>
        <v>73500</v>
      </c>
      <c r="F204" s="26">
        <f t="shared" si="25"/>
        <v>3062.5</v>
      </c>
      <c r="G204" s="4">
        <v>21</v>
      </c>
      <c r="H204" s="4">
        <f>_xlfn.XLOOKUP(A204,'MONTHLY ATTENDANCE SUMMARY'!A203:A502,'MONTHLY ATTENDANCE SUMMARY'!F203:F502)</f>
        <v>1</v>
      </c>
      <c r="I204" s="4">
        <f t="shared" si="26"/>
        <v>1</v>
      </c>
      <c r="J204" s="4">
        <f t="shared" si="27"/>
        <v>0</v>
      </c>
      <c r="K204" s="26">
        <f t="shared" si="28"/>
        <v>67375</v>
      </c>
      <c r="L204" s="26">
        <f t="shared" si="24"/>
        <v>8820</v>
      </c>
      <c r="M204" s="26">
        <f t="shared" si="29"/>
        <v>200</v>
      </c>
      <c r="N204" s="26">
        <f t="shared" si="30"/>
        <v>0</v>
      </c>
      <c r="O204" s="27">
        <f t="shared" si="31"/>
        <v>58355</v>
      </c>
    </row>
    <row r="205" spans="1:15" x14ac:dyDescent="0.3">
      <c r="A205" s="10" t="str">
        <v>EMP202</v>
      </c>
      <c r="B205" s="4" t="str">
        <v>Mohan B</v>
      </c>
      <c r="C205" s="4" t="str">
        <f>_xlfn.XLOOKUP(A205,'EMPLOYEE MASTER DATA'!A205:A504,'EMPLOYEE MASTER DATA'!D205:D504)</f>
        <v>Back End</v>
      </c>
      <c r="D205" s="4" t="str">
        <f>_xlfn.XLOOKUP(A205,'EMPLOYEE MASTER DATA'!A205:A504,'EMPLOYEE MASTER DATA'!E205:E504)</f>
        <v>Data Entry Executive</v>
      </c>
      <c r="E205" s="26">
        <f>_xlfn.XLOOKUP(A205,'EMPLOYEE MASTER DATA'!A205:A504,'EMPLOYEE MASTER DATA'!F205:F504)</f>
        <v>21500</v>
      </c>
      <c r="F205" s="26">
        <f t="shared" si="25"/>
        <v>895.83333333333337</v>
      </c>
      <c r="G205" s="4">
        <v>20</v>
      </c>
      <c r="H205" s="4">
        <f>_xlfn.XLOOKUP(A205,'MONTHLY ATTENDANCE SUMMARY'!A204:A503,'MONTHLY ATTENDANCE SUMMARY'!F204:F503)</f>
        <v>2</v>
      </c>
      <c r="I205" s="4">
        <f t="shared" si="26"/>
        <v>1</v>
      </c>
      <c r="J205" s="4">
        <f t="shared" si="27"/>
        <v>1</v>
      </c>
      <c r="K205" s="26">
        <f t="shared" si="28"/>
        <v>19260.416666666668</v>
      </c>
      <c r="L205" s="26">
        <f t="shared" si="24"/>
        <v>2580</v>
      </c>
      <c r="M205" s="26">
        <f t="shared" si="29"/>
        <v>0</v>
      </c>
      <c r="N205" s="26">
        <f t="shared" si="30"/>
        <v>144.453125</v>
      </c>
      <c r="O205" s="27">
        <f t="shared" si="31"/>
        <v>16535.963541666668</v>
      </c>
    </row>
    <row r="206" spans="1:15" x14ac:dyDescent="0.3">
      <c r="A206" s="10" t="str">
        <v>EMP203</v>
      </c>
      <c r="B206" s="4" t="str">
        <v>Dinesh G</v>
      </c>
      <c r="C206" s="4" t="str">
        <f>_xlfn.XLOOKUP(A206,'EMPLOYEE MASTER DATA'!A206:A505,'EMPLOYEE MASTER DATA'!D206:D505)</f>
        <v>Back End</v>
      </c>
      <c r="D206" s="4" t="str">
        <f>_xlfn.XLOOKUP(A206,'EMPLOYEE MASTER DATA'!A206:A505,'EMPLOYEE MASTER DATA'!E206:E505)</f>
        <v>Operations Executive</v>
      </c>
      <c r="E206" s="26">
        <f>_xlfn.XLOOKUP(A206,'EMPLOYEE MASTER DATA'!A206:A505,'EMPLOYEE MASTER DATA'!F206:F505)</f>
        <v>31000</v>
      </c>
      <c r="F206" s="26">
        <f t="shared" si="25"/>
        <v>1291.6666666666667</v>
      </c>
      <c r="G206" s="4">
        <v>20</v>
      </c>
      <c r="H206" s="4">
        <f>_xlfn.XLOOKUP(A206,'MONTHLY ATTENDANCE SUMMARY'!A205:A504,'MONTHLY ATTENDANCE SUMMARY'!F205:F504)</f>
        <v>1</v>
      </c>
      <c r="I206" s="4">
        <f t="shared" si="26"/>
        <v>1</v>
      </c>
      <c r="J206" s="4">
        <f t="shared" si="27"/>
        <v>0</v>
      </c>
      <c r="K206" s="26">
        <f t="shared" si="28"/>
        <v>27125</v>
      </c>
      <c r="L206" s="26">
        <f t="shared" si="24"/>
        <v>3720</v>
      </c>
      <c r="M206" s="26">
        <f t="shared" si="29"/>
        <v>200</v>
      </c>
      <c r="N206" s="26">
        <f t="shared" si="30"/>
        <v>0</v>
      </c>
      <c r="O206" s="27">
        <f t="shared" si="31"/>
        <v>23205</v>
      </c>
    </row>
    <row r="207" spans="1:15" x14ac:dyDescent="0.3">
      <c r="A207" s="10" t="str">
        <v>EMP204</v>
      </c>
      <c r="B207" s="4" t="str">
        <v>Yogesh Narayanan</v>
      </c>
      <c r="C207" s="4" t="str">
        <f>_xlfn.XLOOKUP(A207,'EMPLOYEE MASTER DATA'!A207:A506,'EMPLOYEE MASTER DATA'!D207:D506)</f>
        <v>Back End</v>
      </c>
      <c r="D207" s="4" t="str">
        <f>_xlfn.XLOOKUP(A207,'EMPLOYEE MASTER DATA'!A207:A506,'EMPLOYEE MASTER DATA'!E207:E506)</f>
        <v>Operations Manager</v>
      </c>
      <c r="E207" s="26">
        <f>_xlfn.XLOOKUP(A207,'EMPLOYEE MASTER DATA'!A207:A506,'EMPLOYEE MASTER DATA'!F207:F506)</f>
        <v>59000</v>
      </c>
      <c r="F207" s="26">
        <f t="shared" si="25"/>
        <v>2458.3333333333335</v>
      </c>
      <c r="G207" s="4">
        <v>22</v>
      </c>
      <c r="H207" s="4">
        <f>_xlfn.XLOOKUP(A207,'MONTHLY ATTENDANCE SUMMARY'!A206:A505,'MONTHLY ATTENDANCE SUMMARY'!F206:F505)</f>
        <v>2</v>
      </c>
      <c r="I207" s="4">
        <f t="shared" si="26"/>
        <v>1</v>
      </c>
      <c r="J207" s="4">
        <f t="shared" si="27"/>
        <v>1</v>
      </c>
      <c r="K207" s="26">
        <f t="shared" si="28"/>
        <v>57770.833333333336</v>
      </c>
      <c r="L207" s="26">
        <f t="shared" si="24"/>
        <v>7080</v>
      </c>
      <c r="M207" s="26">
        <f t="shared" si="29"/>
        <v>200</v>
      </c>
      <c r="N207" s="26">
        <f t="shared" si="30"/>
        <v>0</v>
      </c>
      <c r="O207" s="27">
        <f t="shared" si="31"/>
        <v>50490.833333333336</v>
      </c>
    </row>
    <row r="208" spans="1:15" x14ac:dyDescent="0.3">
      <c r="A208" s="10" t="str">
        <v>EMP205</v>
      </c>
      <c r="B208" s="4" t="str">
        <v>Manoj M</v>
      </c>
      <c r="C208" s="4" t="str">
        <f>_xlfn.XLOOKUP(A208,'EMPLOYEE MASTER DATA'!A208:A507,'EMPLOYEE MASTER DATA'!D208:D507)</f>
        <v>Accounts</v>
      </c>
      <c r="D208" s="4" t="str">
        <f>_xlfn.XLOOKUP(A208,'EMPLOYEE MASTER DATA'!A208:A507,'EMPLOYEE MASTER DATA'!E208:E507)</f>
        <v>Finance Executive</v>
      </c>
      <c r="E208" s="26">
        <f>_xlfn.XLOOKUP(A208,'EMPLOYEE MASTER DATA'!A208:A507,'EMPLOYEE MASTER DATA'!F208:F507)</f>
        <v>36000</v>
      </c>
      <c r="F208" s="26">
        <f t="shared" si="25"/>
        <v>1500</v>
      </c>
      <c r="G208" s="4">
        <v>19</v>
      </c>
      <c r="H208" s="4">
        <f>_xlfn.XLOOKUP(A208,'MONTHLY ATTENDANCE SUMMARY'!A207:A506,'MONTHLY ATTENDANCE SUMMARY'!F207:F506)</f>
        <v>2</v>
      </c>
      <c r="I208" s="4">
        <f t="shared" si="26"/>
        <v>1</v>
      </c>
      <c r="J208" s="4">
        <f t="shared" si="27"/>
        <v>1</v>
      </c>
      <c r="K208" s="26">
        <f t="shared" si="28"/>
        <v>30750</v>
      </c>
      <c r="L208" s="26">
        <f t="shared" si="24"/>
        <v>4320</v>
      </c>
      <c r="M208" s="26">
        <f t="shared" si="29"/>
        <v>200</v>
      </c>
      <c r="N208" s="26">
        <f t="shared" si="30"/>
        <v>0</v>
      </c>
      <c r="O208" s="27">
        <f t="shared" si="31"/>
        <v>26230</v>
      </c>
    </row>
    <row r="209" spans="1:15" x14ac:dyDescent="0.3">
      <c r="A209" s="10" t="str">
        <v>EMP206</v>
      </c>
      <c r="B209" s="4" t="str">
        <v>Naveen V</v>
      </c>
      <c r="C209" s="4" t="str">
        <f>_xlfn.XLOOKUP(A209,'EMPLOYEE MASTER DATA'!A209:A508,'EMPLOYEE MASTER DATA'!D209:D508)</f>
        <v>Accounts</v>
      </c>
      <c r="D209" s="4" t="str">
        <f>_xlfn.XLOOKUP(A209,'EMPLOYEE MASTER DATA'!A209:A508,'EMPLOYEE MASTER DATA'!E209:E508)</f>
        <v>Accounts Executive</v>
      </c>
      <c r="E209" s="26">
        <f>_xlfn.XLOOKUP(A209,'EMPLOYEE MASTER DATA'!A209:A508,'EMPLOYEE MASTER DATA'!F209:F508)</f>
        <v>24500</v>
      </c>
      <c r="F209" s="26">
        <f t="shared" si="25"/>
        <v>1020.8333333333334</v>
      </c>
      <c r="G209" s="4">
        <v>18</v>
      </c>
      <c r="H209" s="4">
        <f>_xlfn.XLOOKUP(A209,'MONTHLY ATTENDANCE SUMMARY'!A208:A507,'MONTHLY ATTENDANCE SUMMARY'!F208:F507)</f>
        <v>2</v>
      </c>
      <c r="I209" s="4">
        <f t="shared" si="26"/>
        <v>1</v>
      </c>
      <c r="J209" s="4">
        <f t="shared" si="27"/>
        <v>1</v>
      </c>
      <c r="K209" s="26">
        <f t="shared" si="28"/>
        <v>19906.25</v>
      </c>
      <c r="L209" s="26">
        <f t="shared" si="24"/>
        <v>2940</v>
      </c>
      <c r="M209" s="26">
        <f t="shared" si="29"/>
        <v>0</v>
      </c>
      <c r="N209" s="26">
        <f t="shared" si="30"/>
        <v>149.296875</v>
      </c>
      <c r="O209" s="27">
        <f t="shared" si="31"/>
        <v>16816.953125</v>
      </c>
    </row>
    <row r="210" spans="1:15" x14ac:dyDescent="0.3">
      <c r="A210" s="10" t="str">
        <v>EMP207</v>
      </c>
      <c r="B210" s="4" t="str">
        <v>Lokesh M</v>
      </c>
      <c r="C210" s="4" t="str">
        <f>_xlfn.XLOOKUP(A210,'EMPLOYEE MASTER DATA'!A210:A509,'EMPLOYEE MASTER DATA'!D210:D509)</f>
        <v>HR</v>
      </c>
      <c r="D210" s="4" t="str">
        <f>_xlfn.XLOOKUP(A210,'EMPLOYEE MASTER DATA'!A210:A509,'EMPLOYEE MASTER DATA'!E210:E509)</f>
        <v>Payroll Executive</v>
      </c>
      <c r="E210" s="26">
        <f>_xlfn.XLOOKUP(A210,'EMPLOYEE MASTER DATA'!A210:A509,'EMPLOYEE MASTER DATA'!F210:F509)</f>
        <v>31500</v>
      </c>
      <c r="F210" s="26">
        <f t="shared" si="25"/>
        <v>1312.5</v>
      </c>
      <c r="G210" s="4">
        <v>20</v>
      </c>
      <c r="H210" s="4">
        <f>_xlfn.XLOOKUP(A210,'MONTHLY ATTENDANCE SUMMARY'!A209:A508,'MONTHLY ATTENDANCE SUMMARY'!F209:F508)</f>
        <v>1</v>
      </c>
      <c r="I210" s="4">
        <f t="shared" si="26"/>
        <v>1</v>
      </c>
      <c r="J210" s="4">
        <f t="shared" si="27"/>
        <v>0</v>
      </c>
      <c r="K210" s="26">
        <f t="shared" si="28"/>
        <v>27562.5</v>
      </c>
      <c r="L210" s="26">
        <f t="shared" si="24"/>
        <v>3780</v>
      </c>
      <c r="M210" s="26">
        <f t="shared" si="29"/>
        <v>200</v>
      </c>
      <c r="N210" s="26">
        <f t="shared" si="30"/>
        <v>0</v>
      </c>
      <c r="O210" s="27">
        <f t="shared" si="31"/>
        <v>23582.5</v>
      </c>
    </row>
    <row r="211" spans="1:15" x14ac:dyDescent="0.3">
      <c r="A211" s="10" t="str">
        <v>EMP208</v>
      </c>
      <c r="B211" s="4" t="str">
        <v>Ganesh Krishnan</v>
      </c>
      <c r="C211" s="4" t="str">
        <f>_xlfn.XLOOKUP(A211,'EMPLOYEE MASTER DATA'!A211:A510,'EMPLOYEE MASTER DATA'!D211:D510)</f>
        <v>Accounts</v>
      </c>
      <c r="D211" s="4" t="str">
        <f>_xlfn.XLOOKUP(A211,'EMPLOYEE MASTER DATA'!A211:A510,'EMPLOYEE MASTER DATA'!E211:E510)</f>
        <v>Senior Accountant</v>
      </c>
      <c r="E211" s="26">
        <f>_xlfn.XLOOKUP(A211,'EMPLOYEE MASTER DATA'!A211:A510,'EMPLOYEE MASTER DATA'!F211:F510)</f>
        <v>42500</v>
      </c>
      <c r="F211" s="26">
        <f t="shared" si="25"/>
        <v>1770.8333333333333</v>
      </c>
      <c r="G211" s="4">
        <v>19</v>
      </c>
      <c r="H211" s="4">
        <f>_xlfn.XLOOKUP(A211,'MONTHLY ATTENDANCE SUMMARY'!A210:A509,'MONTHLY ATTENDANCE SUMMARY'!F210:F509)</f>
        <v>2</v>
      </c>
      <c r="I211" s="4">
        <f t="shared" si="26"/>
        <v>1</v>
      </c>
      <c r="J211" s="4">
        <f t="shared" si="27"/>
        <v>1</v>
      </c>
      <c r="K211" s="26">
        <f t="shared" si="28"/>
        <v>36302.083333333328</v>
      </c>
      <c r="L211" s="26">
        <f t="shared" si="24"/>
        <v>5100</v>
      </c>
      <c r="M211" s="26">
        <f t="shared" si="29"/>
        <v>200</v>
      </c>
      <c r="N211" s="26">
        <f t="shared" si="30"/>
        <v>0</v>
      </c>
      <c r="O211" s="27">
        <f t="shared" si="31"/>
        <v>31002.083333333328</v>
      </c>
    </row>
    <row r="212" spans="1:15" x14ac:dyDescent="0.3">
      <c r="A212" s="10" t="str">
        <v>EMP209</v>
      </c>
      <c r="B212" s="4" t="str">
        <v>Deepak B</v>
      </c>
      <c r="C212" s="4" t="str">
        <f>_xlfn.XLOOKUP(A212,'EMPLOYEE MASTER DATA'!A212:A511,'EMPLOYEE MASTER DATA'!D212:D511)</f>
        <v>Maintenance</v>
      </c>
      <c r="D212" s="4" t="str">
        <f>_xlfn.XLOOKUP(A212,'EMPLOYEE MASTER DATA'!A212:A511,'EMPLOYEE MASTER DATA'!E212:E511)</f>
        <v>Mechanical Technician</v>
      </c>
      <c r="E212" s="26">
        <f>_xlfn.XLOOKUP(A212,'EMPLOYEE MASTER DATA'!A212:A511,'EMPLOYEE MASTER DATA'!F212:F511)</f>
        <v>30000</v>
      </c>
      <c r="F212" s="26">
        <f t="shared" si="25"/>
        <v>1250</v>
      </c>
      <c r="G212" s="4">
        <v>22</v>
      </c>
      <c r="H212" s="4">
        <f>_xlfn.XLOOKUP(A212,'MONTHLY ATTENDANCE SUMMARY'!A211:A510,'MONTHLY ATTENDANCE SUMMARY'!F211:F510)</f>
        <v>1</v>
      </c>
      <c r="I212" s="4">
        <f t="shared" si="26"/>
        <v>1</v>
      </c>
      <c r="J212" s="4">
        <f t="shared" si="27"/>
        <v>0</v>
      </c>
      <c r="K212" s="26">
        <f t="shared" si="28"/>
        <v>28750</v>
      </c>
      <c r="L212" s="26">
        <f t="shared" si="24"/>
        <v>3600</v>
      </c>
      <c r="M212" s="26">
        <f t="shared" si="29"/>
        <v>200</v>
      </c>
      <c r="N212" s="26">
        <f t="shared" si="30"/>
        <v>0</v>
      </c>
      <c r="O212" s="27">
        <f t="shared" si="31"/>
        <v>24950</v>
      </c>
    </row>
    <row r="213" spans="1:15" x14ac:dyDescent="0.3">
      <c r="A213" s="10" t="str">
        <v>EMP210</v>
      </c>
      <c r="B213" s="4" t="str">
        <v>Madhan K</v>
      </c>
      <c r="C213" s="4" t="str">
        <f>_xlfn.XLOOKUP(A213,'EMPLOYEE MASTER DATA'!A213:A512,'EMPLOYEE MASTER DATA'!D213:D512)</f>
        <v>IT</v>
      </c>
      <c r="D213" s="4" t="str">
        <f>_xlfn.XLOOKUP(A213,'EMPLOYEE MASTER DATA'!A213:A512,'EMPLOYEE MASTER DATA'!E213:E512)</f>
        <v>Software Developer</v>
      </c>
      <c r="E213" s="26">
        <f>_xlfn.XLOOKUP(A213,'EMPLOYEE MASTER DATA'!A213:A512,'EMPLOYEE MASTER DATA'!F213:F512)</f>
        <v>63500</v>
      </c>
      <c r="F213" s="26">
        <f t="shared" si="25"/>
        <v>2645.8333333333335</v>
      </c>
      <c r="G213" s="4">
        <v>22</v>
      </c>
      <c r="H213" s="4">
        <f>_xlfn.XLOOKUP(A213,'MONTHLY ATTENDANCE SUMMARY'!A212:A511,'MONTHLY ATTENDANCE SUMMARY'!F212:F511)</f>
        <v>2</v>
      </c>
      <c r="I213" s="4">
        <f t="shared" si="26"/>
        <v>1</v>
      </c>
      <c r="J213" s="4">
        <f t="shared" si="27"/>
        <v>1</v>
      </c>
      <c r="K213" s="26">
        <f t="shared" si="28"/>
        <v>62177.083333333336</v>
      </c>
      <c r="L213" s="26">
        <f t="shared" si="24"/>
        <v>7620</v>
      </c>
      <c r="M213" s="26">
        <f t="shared" si="29"/>
        <v>200</v>
      </c>
      <c r="N213" s="26">
        <f t="shared" si="30"/>
        <v>0</v>
      </c>
      <c r="O213" s="27">
        <f t="shared" si="31"/>
        <v>54357.083333333336</v>
      </c>
    </row>
    <row r="214" spans="1:15" x14ac:dyDescent="0.3">
      <c r="A214" s="10" t="str">
        <v>EMP211</v>
      </c>
      <c r="B214" s="4" t="str">
        <v>Suresh Selvam</v>
      </c>
      <c r="C214" s="4" t="str">
        <f>_xlfn.XLOOKUP(A214,'EMPLOYEE MASTER DATA'!A214:A513,'EMPLOYEE MASTER DATA'!D214:D513)</f>
        <v>Procurement</v>
      </c>
      <c r="D214" s="4" t="str">
        <f>_xlfn.XLOOKUP(A214,'EMPLOYEE MASTER DATA'!A214:A513,'EMPLOYEE MASTER DATA'!E214:E513)</f>
        <v>Buyer</v>
      </c>
      <c r="E214" s="26">
        <f>_xlfn.XLOOKUP(A214,'EMPLOYEE MASTER DATA'!A214:A513,'EMPLOYEE MASTER DATA'!F214:F513)</f>
        <v>42000</v>
      </c>
      <c r="F214" s="26">
        <f t="shared" si="25"/>
        <v>1750</v>
      </c>
      <c r="G214" s="4">
        <v>20</v>
      </c>
      <c r="H214" s="4">
        <f>_xlfn.XLOOKUP(A214,'MONTHLY ATTENDANCE SUMMARY'!A213:A512,'MONTHLY ATTENDANCE SUMMARY'!F213:F512)</f>
        <v>1</v>
      </c>
      <c r="I214" s="4">
        <f t="shared" si="26"/>
        <v>1</v>
      </c>
      <c r="J214" s="4">
        <f t="shared" si="27"/>
        <v>0</v>
      </c>
      <c r="K214" s="26">
        <f t="shared" si="28"/>
        <v>36750</v>
      </c>
      <c r="L214" s="26">
        <f t="shared" si="24"/>
        <v>5040</v>
      </c>
      <c r="M214" s="26">
        <f t="shared" si="29"/>
        <v>200</v>
      </c>
      <c r="N214" s="26">
        <f t="shared" si="30"/>
        <v>0</v>
      </c>
      <c r="O214" s="27">
        <f t="shared" si="31"/>
        <v>31510</v>
      </c>
    </row>
    <row r="215" spans="1:15" x14ac:dyDescent="0.3">
      <c r="A215" s="10" t="str">
        <v>EMP212</v>
      </c>
      <c r="B215" s="4" t="str">
        <v>Harish P</v>
      </c>
      <c r="C215" s="4" t="str">
        <f>_xlfn.XLOOKUP(A215,'EMPLOYEE MASTER DATA'!A215:A514,'EMPLOYEE MASTER DATA'!D215:D514)</f>
        <v>Sales</v>
      </c>
      <c r="D215" s="4" t="str">
        <f>_xlfn.XLOOKUP(A215,'EMPLOYEE MASTER DATA'!A215:A514,'EMPLOYEE MASTER DATA'!E215:E514)</f>
        <v>Key Account Executive</v>
      </c>
      <c r="E215" s="26">
        <f>_xlfn.XLOOKUP(A215,'EMPLOYEE MASTER DATA'!A215:A514,'EMPLOYEE MASTER DATA'!F215:F514)</f>
        <v>45500</v>
      </c>
      <c r="F215" s="26">
        <f t="shared" si="25"/>
        <v>1895.8333333333333</v>
      </c>
      <c r="G215" s="4">
        <v>22</v>
      </c>
      <c r="H215" s="4">
        <f>_xlfn.XLOOKUP(A215,'MONTHLY ATTENDANCE SUMMARY'!A214:A513,'MONTHLY ATTENDANCE SUMMARY'!F214:F513)</f>
        <v>1</v>
      </c>
      <c r="I215" s="4">
        <f t="shared" si="26"/>
        <v>1</v>
      </c>
      <c r="J215" s="4">
        <f t="shared" si="27"/>
        <v>0</v>
      </c>
      <c r="K215" s="26">
        <f t="shared" si="28"/>
        <v>43604.166666666664</v>
      </c>
      <c r="L215" s="26">
        <f t="shared" si="24"/>
        <v>5460</v>
      </c>
      <c r="M215" s="26">
        <f t="shared" si="29"/>
        <v>200</v>
      </c>
      <c r="N215" s="26">
        <f t="shared" si="30"/>
        <v>0</v>
      </c>
      <c r="O215" s="27">
        <f t="shared" si="31"/>
        <v>37944.166666666664</v>
      </c>
    </row>
    <row r="216" spans="1:15" x14ac:dyDescent="0.3">
      <c r="A216" s="10" t="str">
        <v>EMP213</v>
      </c>
      <c r="B216" s="4" t="str">
        <v>Saravanan Narayanan</v>
      </c>
      <c r="C216" s="4" t="str">
        <f>_xlfn.XLOOKUP(A216,'EMPLOYEE MASTER DATA'!A216:A515,'EMPLOYEE MASTER DATA'!D216:D515)</f>
        <v>Back End</v>
      </c>
      <c r="D216" s="4" t="str">
        <f>_xlfn.XLOOKUP(A216,'EMPLOYEE MASTER DATA'!A216:A515,'EMPLOYEE MASTER DATA'!E216:E515)</f>
        <v>Operations Executive</v>
      </c>
      <c r="E216" s="26">
        <f>_xlfn.XLOOKUP(A216,'EMPLOYEE MASTER DATA'!A216:A515,'EMPLOYEE MASTER DATA'!F216:F515)</f>
        <v>31500</v>
      </c>
      <c r="F216" s="26">
        <f t="shared" si="25"/>
        <v>1312.5</v>
      </c>
      <c r="G216" s="4">
        <v>20</v>
      </c>
      <c r="H216" s="4">
        <f>_xlfn.XLOOKUP(A216,'MONTHLY ATTENDANCE SUMMARY'!A215:A514,'MONTHLY ATTENDANCE SUMMARY'!F215:F514)</f>
        <v>1</v>
      </c>
      <c r="I216" s="4">
        <f t="shared" si="26"/>
        <v>1</v>
      </c>
      <c r="J216" s="4">
        <f t="shared" si="27"/>
        <v>0</v>
      </c>
      <c r="K216" s="26">
        <f t="shared" si="28"/>
        <v>27562.5</v>
      </c>
      <c r="L216" s="26">
        <f t="shared" si="24"/>
        <v>3780</v>
      </c>
      <c r="M216" s="26">
        <f t="shared" si="29"/>
        <v>200</v>
      </c>
      <c r="N216" s="26">
        <f t="shared" si="30"/>
        <v>0</v>
      </c>
      <c r="O216" s="27">
        <f t="shared" si="31"/>
        <v>23582.5</v>
      </c>
    </row>
    <row r="217" spans="1:15" x14ac:dyDescent="0.3">
      <c r="A217" s="10" t="str">
        <v>EMP214</v>
      </c>
      <c r="B217" s="4" t="str">
        <v>Mohan Kannan</v>
      </c>
      <c r="C217" s="4" t="str">
        <f>_xlfn.XLOOKUP(A217,'EMPLOYEE MASTER DATA'!A217:A516,'EMPLOYEE MASTER DATA'!D217:D516)</f>
        <v>Procurement</v>
      </c>
      <c r="D217" s="4" t="str">
        <f>_xlfn.XLOOKUP(A217,'EMPLOYEE MASTER DATA'!A217:A516,'EMPLOYEE MASTER DATA'!E217:E516)</f>
        <v>Purchase Executive</v>
      </c>
      <c r="E217" s="26">
        <f>_xlfn.XLOOKUP(A217,'EMPLOYEE MASTER DATA'!A217:A516,'EMPLOYEE MASTER DATA'!F217:F516)</f>
        <v>30000</v>
      </c>
      <c r="F217" s="26">
        <f t="shared" si="25"/>
        <v>1250</v>
      </c>
      <c r="G217" s="4">
        <v>19</v>
      </c>
      <c r="H217" s="4">
        <f>_xlfn.XLOOKUP(A217,'MONTHLY ATTENDANCE SUMMARY'!A216:A515,'MONTHLY ATTENDANCE SUMMARY'!F216:F515)</f>
        <v>1</v>
      </c>
      <c r="I217" s="4">
        <f t="shared" si="26"/>
        <v>1</v>
      </c>
      <c r="J217" s="4">
        <f t="shared" si="27"/>
        <v>0</v>
      </c>
      <c r="K217" s="26">
        <f t="shared" si="28"/>
        <v>25000</v>
      </c>
      <c r="L217" s="26">
        <f t="shared" si="24"/>
        <v>3600</v>
      </c>
      <c r="M217" s="26">
        <f t="shared" si="29"/>
        <v>200</v>
      </c>
      <c r="N217" s="26">
        <f t="shared" si="30"/>
        <v>0</v>
      </c>
      <c r="O217" s="27">
        <f t="shared" si="31"/>
        <v>21200</v>
      </c>
    </row>
    <row r="218" spans="1:15" x14ac:dyDescent="0.3">
      <c r="A218" s="10" t="str">
        <v>EMP215</v>
      </c>
      <c r="B218" s="4" t="str">
        <v>Karthik V</v>
      </c>
      <c r="C218" s="4" t="str">
        <f>_xlfn.XLOOKUP(A218,'EMPLOYEE MASTER DATA'!A218:A517,'EMPLOYEE MASTER DATA'!D218:D517)</f>
        <v>IT</v>
      </c>
      <c r="D218" s="4" t="str">
        <f>_xlfn.XLOOKUP(A218,'EMPLOYEE MASTER DATA'!A218:A517,'EMPLOYEE MASTER DATA'!E218:E517)</f>
        <v>IT Support Engineer</v>
      </c>
      <c r="E218" s="26">
        <f>_xlfn.XLOOKUP(A218,'EMPLOYEE MASTER DATA'!A218:A517,'EMPLOYEE MASTER DATA'!F218:F517)</f>
        <v>33500</v>
      </c>
      <c r="F218" s="26">
        <f t="shared" si="25"/>
        <v>1395.8333333333333</v>
      </c>
      <c r="G218" s="4">
        <v>21</v>
      </c>
      <c r="H218" s="4">
        <f>_xlfn.XLOOKUP(A218,'MONTHLY ATTENDANCE SUMMARY'!A217:A516,'MONTHLY ATTENDANCE SUMMARY'!F217:F516)</f>
        <v>1</v>
      </c>
      <c r="I218" s="4">
        <f t="shared" si="26"/>
        <v>1</v>
      </c>
      <c r="J218" s="4">
        <f t="shared" si="27"/>
        <v>0</v>
      </c>
      <c r="K218" s="26">
        <f t="shared" si="28"/>
        <v>30708.333333333332</v>
      </c>
      <c r="L218" s="26">
        <f t="shared" si="24"/>
        <v>4020</v>
      </c>
      <c r="M218" s="26">
        <f t="shared" si="29"/>
        <v>200</v>
      </c>
      <c r="N218" s="26">
        <f t="shared" si="30"/>
        <v>0</v>
      </c>
      <c r="O218" s="27">
        <f t="shared" si="31"/>
        <v>26488.333333333332</v>
      </c>
    </row>
    <row r="219" spans="1:15" x14ac:dyDescent="0.3">
      <c r="A219" s="10" t="str">
        <v>EMP216</v>
      </c>
      <c r="B219" s="4" t="str">
        <v>Arun Babu</v>
      </c>
      <c r="C219" s="4" t="str">
        <f>_xlfn.XLOOKUP(A219,'EMPLOYEE MASTER DATA'!A219:A518,'EMPLOYEE MASTER DATA'!D219:D518)</f>
        <v>Production</v>
      </c>
      <c r="D219" s="4" t="str">
        <f>_xlfn.XLOOKUP(A219,'EMPLOYEE MASTER DATA'!A219:A518,'EMPLOYEE MASTER DATA'!E219:E518)</f>
        <v>Production Manager</v>
      </c>
      <c r="E219" s="26">
        <f>_xlfn.XLOOKUP(A219,'EMPLOYEE MASTER DATA'!A219:A518,'EMPLOYEE MASTER DATA'!F219:F518)</f>
        <v>57500</v>
      </c>
      <c r="F219" s="26">
        <f t="shared" si="25"/>
        <v>2395.8333333333335</v>
      </c>
      <c r="G219" s="4">
        <v>19</v>
      </c>
      <c r="H219" s="4">
        <f>_xlfn.XLOOKUP(A219,'MONTHLY ATTENDANCE SUMMARY'!A218:A517,'MONTHLY ATTENDANCE SUMMARY'!F218:F517)</f>
        <v>1</v>
      </c>
      <c r="I219" s="4">
        <f t="shared" si="26"/>
        <v>1</v>
      </c>
      <c r="J219" s="4">
        <f t="shared" si="27"/>
        <v>0</v>
      </c>
      <c r="K219" s="26">
        <f t="shared" si="28"/>
        <v>47916.666666666672</v>
      </c>
      <c r="L219" s="26">
        <f t="shared" si="24"/>
        <v>6900</v>
      </c>
      <c r="M219" s="26">
        <f t="shared" si="29"/>
        <v>200</v>
      </c>
      <c r="N219" s="26">
        <f t="shared" si="30"/>
        <v>0</v>
      </c>
      <c r="O219" s="27">
        <f t="shared" si="31"/>
        <v>40816.666666666672</v>
      </c>
    </row>
    <row r="220" spans="1:15" x14ac:dyDescent="0.3">
      <c r="A220" s="10" t="str">
        <v>EMP217</v>
      </c>
      <c r="B220" s="4" t="str">
        <v>Praveen Raj</v>
      </c>
      <c r="C220" s="4" t="str">
        <f>_xlfn.XLOOKUP(A220,'EMPLOYEE MASTER DATA'!A220:A519,'EMPLOYEE MASTER DATA'!D220:D519)</f>
        <v>Sales</v>
      </c>
      <c r="D220" s="4" t="str">
        <f>_xlfn.XLOOKUP(A220,'EMPLOYEE MASTER DATA'!A220:A519,'EMPLOYEE MASTER DATA'!E220:E519)</f>
        <v>Senior Sales Executive</v>
      </c>
      <c r="E220" s="26">
        <f>_xlfn.XLOOKUP(A220,'EMPLOYEE MASTER DATA'!A220:A519,'EMPLOYEE MASTER DATA'!F220:F519)</f>
        <v>42000</v>
      </c>
      <c r="F220" s="26">
        <f t="shared" si="25"/>
        <v>1750</v>
      </c>
      <c r="G220" s="4">
        <v>18</v>
      </c>
      <c r="H220" s="4">
        <f>_xlfn.XLOOKUP(A220,'MONTHLY ATTENDANCE SUMMARY'!A219:A518,'MONTHLY ATTENDANCE SUMMARY'!F219:F518)</f>
        <v>1</v>
      </c>
      <c r="I220" s="4">
        <f t="shared" si="26"/>
        <v>1</v>
      </c>
      <c r="J220" s="4">
        <f t="shared" si="27"/>
        <v>0</v>
      </c>
      <c r="K220" s="26">
        <f t="shared" si="28"/>
        <v>33250</v>
      </c>
      <c r="L220" s="26">
        <f t="shared" si="24"/>
        <v>5040</v>
      </c>
      <c r="M220" s="26">
        <f t="shared" si="29"/>
        <v>200</v>
      </c>
      <c r="N220" s="26">
        <f t="shared" si="30"/>
        <v>0</v>
      </c>
      <c r="O220" s="27">
        <f t="shared" si="31"/>
        <v>28010</v>
      </c>
    </row>
    <row r="221" spans="1:15" x14ac:dyDescent="0.3">
      <c r="A221" s="10" t="str">
        <v>EMP218</v>
      </c>
      <c r="B221" s="4" t="str">
        <v>Rahul V</v>
      </c>
      <c r="C221" s="4" t="str">
        <f>_xlfn.XLOOKUP(A221,'EMPLOYEE MASTER DATA'!A221:A520,'EMPLOYEE MASTER DATA'!D221:D520)</f>
        <v>Accounts</v>
      </c>
      <c r="D221" s="4" t="str">
        <f>_xlfn.XLOOKUP(A221,'EMPLOYEE MASTER DATA'!A221:A520,'EMPLOYEE MASTER DATA'!E221:E520)</f>
        <v>Senior Accountant</v>
      </c>
      <c r="E221" s="26">
        <f>_xlfn.XLOOKUP(A221,'EMPLOYEE MASTER DATA'!A221:A520,'EMPLOYEE MASTER DATA'!F221:F520)</f>
        <v>55000</v>
      </c>
      <c r="F221" s="26">
        <f t="shared" si="25"/>
        <v>2291.6666666666665</v>
      </c>
      <c r="G221" s="4">
        <v>19</v>
      </c>
      <c r="H221" s="4">
        <f>_xlfn.XLOOKUP(A221,'MONTHLY ATTENDANCE SUMMARY'!A220:A519,'MONTHLY ATTENDANCE SUMMARY'!F220:F519)</f>
        <v>1</v>
      </c>
      <c r="I221" s="4">
        <f t="shared" si="26"/>
        <v>1</v>
      </c>
      <c r="J221" s="4">
        <f t="shared" si="27"/>
        <v>0</v>
      </c>
      <c r="K221" s="26">
        <f t="shared" si="28"/>
        <v>45833.333333333328</v>
      </c>
      <c r="L221" s="26">
        <f t="shared" si="24"/>
        <v>6600</v>
      </c>
      <c r="M221" s="26">
        <f t="shared" si="29"/>
        <v>200</v>
      </c>
      <c r="N221" s="26">
        <f t="shared" si="30"/>
        <v>0</v>
      </c>
      <c r="O221" s="27">
        <f t="shared" si="31"/>
        <v>39033.333333333328</v>
      </c>
    </row>
    <row r="222" spans="1:15" x14ac:dyDescent="0.3">
      <c r="A222" s="10" t="str">
        <v>EMP219</v>
      </c>
      <c r="B222" s="4" t="str">
        <v>Arun S</v>
      </c>
      <c r="C222" s="4" t="str">
        <f>_xlfn.XLOOKUP(A222,'EMPLOYEE MASTER DATA'!A222:A521,'EMPLOYEE MASTER DATA'!D222:D521)</f>
        <v>HR</v>
      </c>
      <c r="D222" s="4" t="str">
        <f>_xlfn.XLOOKUP(A222,'EMPLOYEE MASTER DATA'!A222:A521,'EMPLOYEE MASTER DATA'!E222:E521)</f>
        <v>HR Executive</v>
      </c>
      <c r="E222" s="26">
        <f>_xlfn.XLOOKUP(A222,'EMPLOYEE MASTER DATA'!A222:A521,'EMPLOYEE MASTER DATA'!F222:F521)</f>
        <v>27000</v>
      </c>
      <c r="F222" s="26">
        <f t="shared" si="25"/>
        <v>1125</v>
      </c>
      <c r="G222" s="4">
        <v>22</v>
      </c>
      <c r="H222" s="4">
        <f>_xlfn.XLOOKUP(A222,'MONTHLY ATTENDANCE SUMMARY'!A221:A520,'MONTHLY ATTENDANCE SUMMARY'!F221:F520)</f>
        <v>1</v>
      </c>
      <c r="I222" s="4">
        <f t="shared" si="26"/>
        <v>1</v>
      </c>
      <c r="J222" s="4">
        <f t="shared" si="27"/>
        <v>0</v>
      </c>
      <c r="K222" s="26">
        <f t="shared" si="28"/>
        <v>25875</v>
      </c>
      <c r="L222" s="26">
        <f t="shared" si="24"/>
        <v>3240</v>
      </c>
      <c r="M222" s="26">
        <f t="shared" si="29"/>
        <v>200</v>
      </c>
      <c r="N222" s="26">
        <f t="shared" si="30"/>
        <v>0</v>
      </c>
      <c r="O222" s="27">
        <f t="shared" si="31"/>
        <v>22435</v>
      </c>
    </row>
    <row r="223" spans="1:15" x14ac:dyDescent="0.3">
      <c r="A223" s="10" t="str">
        <v>EMP220</v>
      </c>
      <c r="B223" s="4" t="str">
        <v>Vignesh G</v>
      </c>
      <c r="C223" s="4" t="str">
        <f>_xlfn.XLOOKUP(A223,'EMPLOYEE MASTER DATA'!A223:A522,'EMPLOYEE MASTER DATA'!D223:D522)</f>
        <v>Procurement</v>
      </c>
      <c r="D223" s="4" t="str">
        <f>_xlfn.XLOOKUP(A223,'EMPLOYEE MASTER DATA'!A223:A522,'EMPLOYEE MASTER DATA'!E223:E522)</f>
        <v>Procurement Manager</v>
      </c>
      <c r="E223" s="26">
        <f>_xlfn.XLOOKUP(A223,'EMPLOYEE MASTER DATA'!A223:A522,'EMPLOYEE MASTER DATA'!F223:F522)</f>
        <v>61000</v>
      </c>
      <c r="F223" s="26">
        <f t="shared" si="25"/>
        <v>2541.6666666666665</v>
      </c>
      <c r="G223" s="4">
        <v>19</v>
      </c>
      <c r="H223" s="4">
        <f>_xlfn.XLOOKUP(A223,'MONTHLY ATTENDANCE SUMMARY'!A222:A521,'MONTHLY ATTENDANCE SUMMARY'!F222:F521)</f>
        <v>1</v>
      </c>
      <c r="I223" s="4">
        <f t="shared" si="26"/>
        <v>1</v>
      </c>
      <c r="J223" s="4">
        <f t="shared" si="27"/>
        <v>0</v>
      </c>
      <c r="K223" s="26">
        <f t="shared" si="28"/>
        <v>50833.333333333328</v>
      </c>
      <c r="L223" s="26">
        <f t="shared" si="24"/>
        <v>7320</v>
      </c>
      <c r="M223" s="26">
        <f t="shared" si="29"/>
        <v>200</v>
      </c>
      <c r="N223" s="26">
        <f t="shared" si="30"/>
        <v>0</v>
      </c>
      <c r="O223" s="27">
        <f t="shared" si="31"/>
        <v>43313.333333333328</v>
      </c>
    </row>
    <row r="224" spans="1:15" x14ac:dyDescent="0.3">
      <c r="A224" s="10" t="str">
        <v>EMP221</v>
      </c>
      <c r="B224" s="4" t="str">
        <v>Lokesh K</v>
      </c>
      <c r="C224" s="4" t="str">
        <f>_xlfn.XLOOKUP(A224,'EMPLOYEE MASTER DATA'!A224:A523,'EMPLOYEE MASTER DATA'!D224:D523)</f>
        <v>Back End</v>
      </c>
      <c r="D224" s="4" t="str">
        <f>_xlfn.XLOOKUP(A224,'EMPLOYEE MASTER DATA'!A224:A523,'EMPLOYEE MASTER DATA'!E224:E523)</f>
        <v>Documentation Executive</v>
      </c>
      <c r="E224" s="26">
        <f>_xlfn.XLOOKUP(A224,'EMPLOYEE MASTER DATA'!A224:A523,'EMPLOYEE MASTER DATA'!F224:F523)</f>
        <v>26500</v>
      </c>
      <c r="F224" s="26">
        <f t="shared" si="25"/>
        <v>1104.1666666666667</v>
      </c>
      <c r="G224" s="4">
        <v>21</v>
      </c>
      <c r="H224" s="4">
        <f>_xlfn.XLOOKUP(A224,'MONTHLY ATTENDANCE SUMMARY'!A223:A522,'MONTHLY ATTENDANCE SUMMARY'!F223:F522)</f>
        <v>1</v>
      </c>
      <c r="I224" s="4">
        <f t="shared" si="26"/>
        <v>1</v>
      </c>
      <c r="J224" s="4">
        <f t="shared" si="27"/>
        <v>0</v>
      </c>
      <c r="K224" s="26">
        <f t="shared" si="28"/>
        <v>24291.666666666668</v>
      </c>
      <c r="L224" s="26">
        <f t="shared" si="24"/>
        <v>3180</v>
      </c>
      <c r="M224" s="26">
        <f t="shared" si="29"/>
        <v>200</v>
      </c>
      <c r="N224" s="26">
        <f t="shared" si="30"/>
        <v>0</v>
      </c>
      <c r="O224" s="27">
        <f t="shared" si="31"/>
        <v>20911.666666666668</v>
      </c>
    </row>
    <row r="225" spans="1:15" x14ac:dyDescent="0.3">
      <c r="A225" s="10" t="str">
        <v>EMP222</v>
      </c>
      <c r="B225" s="4" t="str">
        <v>Vinoth Murugan</v>
      </c>
      <c r="C225" s="4" t="str">
        <f>_xlfn.XLOOKUP(A225,'EMPLOYEE MASTER DATA'!A225:A524,'EMPLOYEE MASTER DATA'!D225:D524)</f>
        <v>Production</v>
      </c>
      <c r="D225" s="4" t="str">
        <f>_xlfn.XLOOKUP(A225,'EMPLOYEE MASTER DATA'!A225:A524,'EMPLOYEE MASTER DATA'!E225:E524)</f>
        <v>Quality Inspector</v>
      </c>
      <c r="E225" s="26">
        <f>_xlfn.XLOOKUP(A225,'EMPLOYEE MASTER DATA'!A225:A524,'EMPLOYEE MASTER DATA'!F225:F524)</f>
        <v>34000</v>
      </c>
      <c r="F225" s="26">
        <f t="shared" si="25"/>
        <v>1416.6666666666667</v>
      </c>
      <c r="G225" s="4">
        <v>22</v>
      </c>
      <c r="H225" s="4">
        <f>_xlfn.XLOOKUP(A225,'MONTHLY ATTENDANCE SUMMARY'!A224:A523,'MONTHLY ATTENDANCE SUMMARY'!F224:F523)</f>
        <v>1</v>
      </c>
      <c r="I225" s="4">
        <f t="shared" si="26"/>
        <v>1</v>
      </c>
      <c r="J225" s="4">
        <f t="shared" si="27"/>
        <v>0</v>
      </c>
      <c r="K225" s="26">
        <f t="shared" si="28"/>
        <v>32583.333333333336</v>
      </c>
      <c r="L225" s="26">
        <f t="shared" si="24"/>
        <v>4080</v>
      </c>
      <c r="M225" s="26">
        <f t="shared" si="29"/>
        <v>200</v>
      </c>
      <c r="N225" s="26">
        <f t="shared" si="30"/>
        <v>0</v>
      </c>
      <c r="O225" s="27">
        <f t="shared" si="31"/>
        <v>28303.333333333336</v>
      </c>
    </row>
    <row r="226" spans="1:15" x14ac:dyDescent="0.3">
      <c r="A226" s="10" t="str">
        <v>EMP223</v>
      </c>
      <c r="B226" s="4" t="str">
        <v>Prakash R</v>
      </c>
      <c r="C226" s="4" t="str">
        <f>_xlfn.XLOOKUP(A226,'EMPLOYEE MASTER DATA'!A226:A525,'EMPLOYEE MASTER DATA'!D226:D525)</f>
        <v>Maintenance</v>
      </c>
      <c r="D226" s="4" t="str">
        <f>_xlfn.XLOOKUP(A226,'EMPLOYEE MASTER DATA'!A226:A525,'EMPLOYEE MASTER DATA'!E226:E525)</f>
        <v>Maintenance Supervisor</v>
      </c>
      <c r="E226" s="26">
        <f>_xlfn.XLOOKUP(A226,'EMPLOYEE MASTER DATA'!A226:A525,'EMPLOYEE MASTER DATA'!F226:F525)</f>
        <v>53500</v>
      </c>
      <c r="F226" s="26">
        <f t="shared" si="25"/>
        <v>2229.1666666666665</v>
      </c>
      <c r="G226" s="4">
        <v>22</v>
      </c>
      <c r="H226" s="4">
        <f>_xlfn.XLOOKUP(A226,'MONTHLY ATTENDANCE SUMMARY'!A225:A524,'MONTHLY ATTENDANCE SUMMARY'!F225:F524)</f>
        <v>1</v>
      </c>
      <c r="I226" s="4">
        <f t="shared" si="26"/>
        <v>1</v>
      </c>
      <c r="J226" s="4">
        <f t="shared" si="27"/>
        <v>0</v>
      </c>
      <c r="K226" s="26">
        <f t="shared" si="28"/>
        <v>51270.833333333328</v>
      </c>
      <c r="L226" s="26">
        <f t="shared" si="24"/>
        <v>6420</v>
      </c>
      <c r="M226" s="26">
        <f t="shared" si="29"/>
        <v>200</v>
      </c>
      <c r="N226" s="26">
        <f t="shared" si="30"/>
        <v>0</v>
      </c>
      <c r="O226" s="27">
        <f t="shared" si="31"/>
        <v>44650.833333333328</v>
      </c>
    </row>
    <row r="227" spans="1:15" x14ac:dyDescent="0.3">
      <c r="A227" s="10" t="str">
        <v>EMP224</v>
      </c>
      <c r="B227" s="4" t="str">
        <v>Bharath Murugan</v>
      </c>
      <c r="C227" s="4" t="str">
        <f>_xlfn.XLOOKUP(A227,'EMPLOYEE MASTER DATA'!A227:A526,'EMPLOYEE MASTER DATA'!D227:D526)</f>
        <v>Production</v>
      </c>
      <c r="D227" s="4" t="str">
        <f>_xlfn.XLOOKUP(A227,'EMPLOYEE MASTER DATA'!A227:A526,'EMPLOYEE MASTER DATA'!E227:E526)</f>
        <v>Shift Incharge</v>
      </c>
      <c r="E227" s="26">
        <f>_xlfn.XLOOKUP(A227,'EMPLOYEE MASTER DATA'!A227:A526,'EMPLOYEE MASTER DATA'!F227:F526)</f>
        <v>54000</v>
      </c>
      <c r="F227" s="26">
        <f t="shared" si="25"/>
        <v>2250</v>
      </c>
      <c r="G227" s="4">
        <v>21</v>
      </c>
      <c r="H227" s="4">
        <f>_xlfn.XLOOKUP(A227,'MONTHLY ATTENDANCE SUMMARY'!A226:A525,'MONTHLY ATTENDANCE SUMMARY'!F226:F525)</f>
        <v>2</v>
      </c>
      <c r="I227" s="4">
        <f t="shared" si="26"/>
        <v>1</v>
      </c>
      <c r="J227" s="4">
        <f t="shared" si="27"/>
        <v>1</v>
      </c>
      <c r="K227" s="26">
        <f t="shared" si="28"/>
        <v>50625</v>
      </c>
      <c r="L227" s="26">
        <f t="shared" si="24"/>
        <v>6480</v>
      </c>
      <c r="M227" s="26">
        <f t="shared" si="29"/>
        <v>200</v>
      </c>
      <c r="N227" s="26">
        <f t="shared" si="30"/>
        <v>0</v>
      </c>
      <c r="O227" s="27">
        <f t="shared" si="31"/>
        <v>43945</v>
      </c>
    </row>
    <row r="228" spans="1:15" x14ac:dyDescent="0.3">
      <c r="A228" s="10" t="str">
        <v>EMP225</v>
      </c>
      <c r="B228" s="4" t="str">
        <v>Ramesh Prasad</v>
      </c>
      <c r="C228" s="4" t="str">
        <f>_xlfn.XLOOKUP(A228,'EMPLOYEE MASTER DATA'!A228:A527,'EMPLOYEE MASTER DATA'!D228:D527)</f>
        <v>Front Office</v>
      </c>
      <c r="D228" s="4" t="str">
        <f>_xlfn.XLOOKUP(A228,'EMPLOYEE MASTER DATA'!A228:A527,'EMPLOYEE MASTER DATA'!E228:E527)</f>
        <v>Front Office Executive</v>
      </c>
      <c r="E228" s="26">
        <f>_xlfn.XLOOKUP(A228,'EMPLOYEE MASTER DATA'!A228:A527,'EMPLOYEE MASTER DATA'!F228:F527)</f>
        <v>28000</v>
      </c>
      <c r="F228" s="26">
        <f t="shared" si="25"/>
        <v>1166.6666666666667</v>
      </c>
      <c r="G228" s="4">
        <v>19</v>
      </c>
      <c r="H228" s="4">
        <f>_xlfn.XLOOKUP(A228,'MONTHLY ATTENDANCE SUMMARY'!A227:A526,'MONTHLY ATTENDANCE SUMMARY'!F227:F526)</f>
        <v>2</v>
      </c>
      <c r="I228" s="4">
        <f t="shared" si="26"/>
        <v>1</v>
      </c>
      <c r="J228" s="4">
        <f t="shared" si="27"/>
        <v>1</v>
      </c>
      <c r="K228" s="26">
        <f t="shared" si="28"/>
        <v>23916.666666666668</v>
      </c>
      <c r="L228" s="26">
        <f t="shared" si="24"/>
        <v>3360</v>
      </c>
      <c r="M228" s="26">
        <f t="shared" si="29"/>
        <v>200</v>
      </c>
      <c r="N228" s="26">
        <f t="shared" si="30"/>
        <v>0</v>
      </c>
      <c r="O228" s="27">
        <f t="shared" si="31"/>
        <v>20356.666666666668</v>
      </c>
    </row>
    <row r="229" spans="1:15" x14ac:dyDescent="0.3">
      <c r="A229" s="10" t="str">
        <v>EMP226</v>
      </c>
      <c r="B229" s="4" t="str">
        <v>Sathish R</v>
      </c>
      <c r="C229" s="4" t="str">
        <f>_xlfn.XLOOKUP(A229,'EMPLOYEE MASTER DATA'!A229:A528,'EMPLOYEE MASTER DATA'!D229:D528)</f>
        <v>IT</v>
      </c>
      <c r="D229" s="4" t="str">
        <f>_xlfn.XLOOKUP(A229,'EMPLOYEE MASTER DATA'!A229:A528,'EMPLOYEE MASTER DATA'!E229:E528)</f>
        <v>System Administrator</v>
      </c>
      <c r="E229" s="26">
        <f>_xlfn.XLOOKUP(A229,'EMPLOYEE MASTER DATA'!A229:A528,'EMPLOYEE MASTER DATA'!F229:F528)</f>
        <v>39000</v>
      </c>
      <c r="F229" s="26">
        <f t="shared" si="25"/>
        <v>1625</v>
      </c>
      <c r="G229" s="4">
        <v>20</v>
      </c>
      <c r="H229" s="4">
        <f>_xlfn.XLOOKUP(A229,'MONTHLY ATTENDANCE SUMMARY'!A228:A527,'MONTHLY ATTENDANCE SUMMARY'!F228:F527)</f>
        <v>2</v>
      </c>
      <c r="I229" s="4">
        <f t="shared" si="26"/>
        <v>1</v>
      </c>
      <c r="J229" s="4">
        <f t="shared" si="27"/>
        <v>1</v>
      </c>
      <c r="K229" s="26">
        <f t="shared" si="28"/>
        <v>34937.5</v>
      </c>
      <c r="L229" s="26">
        <f t="shared" si="24"/>
        <v>4680</v>
      </c>
      <c r="M229" s="26">
        <f t="shared" si="29"/>
        <v>200</v>
      </c>
      <c r="N229" s="26">
        <f t="shared" si="30"/>
        <v>0</v>
      </c>
      <c r="O229" s="27">
        <f t="shared" si="31"/>
        <v>30057.5</v>
      </c>
    </row>
    <row r="230" spans="1:15" x14ac:dyDescent="0.3">
      <c r="A230" s="10" t="str">
        <v>EMP227</v>
      </c>
      <c r="B230" s="4" t="str">
        <v>Mohan N</v>
      </c>
      <c r="C230" s="4" t="str">
        <f>_xlfn.XLOOKUP(A230,'EMPLOYEE MASTER DATA'!A230:A529,'EMPLOYEE MASTER DATA'!D230:D529)</f>
        <v>Back End</v>
      </c>
      <c r="D230" s="4" t="str">
        <f>_xlfn.XLOOKUP(A230,'EMPLOYEE MASTER DATA'!A230:A529,'EMPLOYEE MASTER DATA'!E230:E529)</f>
        <v>MIS Executive</v>
      </c>
      <c r="E230" s="26">
        <f>_xlfn.XLOOKUP(A230,'EMPLOYEE MASTER DATA'!A230:A529,'EMPLOYEE MASTER DATA'!F230:F529)</f>
        <v>29000</v>
      </c>
      <c r="F230" s="26">
        <f t="shared" si="25"/>
        <v>1208.3333333333333</v>
      </c>
      <c r="G230" s="4">
        <v>20</v>
      </c>
      <c r="H230" s="4">
        <f>_xlfn.XLOOKUP(A230,'MONTHLY ATTENDANCE SUMMARY'!A229:A528,'MONTHLY ATTENDANCE SUMMARY'!F229:F528)</f>
        <v>2</v>
      </c>
      <c r="I230" s="4">
        <f t="shared" si="26"/>
        <v>1</v>
      </c>
      <c r="J230" s="4">
        <f t="shared" si="27"/>
        <v>1</v>
      </c>
      <c r="K230" s="26">
        <f t="shared" si="28"/>
        <v>25979.166666666664</v>
      </c>
      <c r="L230" s="26">
        <f t="shared" si="24"/>
        <v>3480</v>
      </c>
      <c r="M230" s="26">
        <f t="shared" si="29"/>
        <v>200</v>
      </c>
      <c r="N230" s="26">
        <f t="shared" si="30"/>
        <v>0</v>
      </c>
      <c r="O230" s="27">
        <f t="shared" si="31"/>
        <v>22299.166666666664</v>
      </c>
    </row>
    <row r="231" spans="1:15" x14ac:dyDescent="0.3">
      <c r="A231" s="10" t="str">
        <v>EMP228</v>
      </c>
      <c r="B231" s="4" t="str">
        <v>Naveen Murugan</v>
      </c>
      <c r="C231" s="4" t="str">
        <f>_xlfn.XLOOKUP(A231,'EMPLOYEE MASTER DATA'!A231:A530,'EMPLOYEE MASTER DATA'!D231:D530)</f>
        <v>Front Office</v>
      </c>
      <c r="D231" s="4" t="str">
        <f>_xlfn.XLOOKUP(A231,'EMPLOYEE MASTER DATA'!A231:A530,'EMPLOYEE MASTER DATA'!E231:E530)</f>
        <v>Front Desk Coordinator</v>
      </c>
      <c r="E231" s="26">
        <f>_xlfn.XLOOKUP(A231,'EMPLOYEE MASTER DATA'!A231:A530,'EMPLOYEE MASTER DATA'!F231:F530)</f>
        <v>31500</v>
      </c>
      <c r="F231" s="26">
        <f t="shared" si="25"/>
        <v>1312.5</v>
      </c>
      <c r="G231" s="4">
        <v>18</v>
      </c>
      <c r="H231" s="4">
        <f>_xlfn.XLOOKUP(A231,'MONTHLY ATTENDANCE SUMMARY'!A230:A529,'MONTHLY ATTENDANCE SUMMARY'!F230:F529)</f>
        <v>1</v>
      </c>
      <c r="I231" s="4">
        <f t="shared" si="26"/>
        <v>1</v>
      </c>
      <c r="J231" s="4">
        <f t="shared" si="27"/>
        <v>0</v>
      </c>
      <c r="K231" s="26">
        <f t="shared" si="28"/>
        <v>24937.5</v>
      </c>
      <c r="L231" s="26">
        <f t="shared" si="24"/>
        <v>3780</v>
      </c>
      <c r="M231" s="26">
        <f t="shared" si="29"/>
        <v>200</v>
      </c>
      <c r="N231" s="26">
        <f t="shared" si="30"/>
        <v>0</v>
      </c>
      <c r="O231" s="27">
        <f t="shared" si="31"/>
        <v>20957.5</v>
      </c>
    </row>
    <row r="232" spans="1:15" x14ac:dyDescent="0.3">
      <c r="A232" s="10" t="str">
        <v>EMP229</v>
      </c>
      <c r="B232" s="4" t="str">
        <v>Mohan Babu</v>
      </c>
      <c r="C232" s="4" t="str">
        <f>_xlfn.XLOOKUP(A232,'EMPLOYEE MASTER DATA'!A232:A531,'EMPLOYEE MASTER DATA'!D232:D531)</f>
        <v>Accounts</v>
      </c>
      <c r="D232" s="4" t="str">
        <f>_xlfn.XLOOKUP(A232,'EMPLOYEE MASTER DATA'!A232:A531,'EMPLOYEE MASTER DATA'!E232:E531)</f>
        <v>Accountant</v>
      </c>
      <c r="E232" s="26">
        <f>_xlfn.XLOOKUP(A232,'EMPLOYEE MASTER DATA'!A232:A531,'EMPLOYEE MASTER DATA'!F232:F531)</f>
        <v>33500</v>
      </c>
      <c r="F232" s="26">
        <f t="shared" si="25"/>
        <v>1395.8333333333333</v>
      </c>
      <c r="G232" s="4">
        <v>22</v>
      </c>
      <c r="H232" s="4">
        <f>_xlfn.XLOOKUP(A232,'MONTHLY ATTENDANCE SUMMARY'!A231:A530,'MONTHLY ATTENDANCE SUMMARY'!F231:F530)</f>
        <v>1</v>
      </c>
      <c r="I232" s="4">
        <f t="shared" si="26"/>
        <v>1</v>
      </c>
      <c r="J232" s="4">
        <f t="shared" si="27"/>
        <v>0</v>
      </c>
      <c r="K232" s="26">
        <f t="shared" si="28"/>
        <v>32104.166666666664</v>
      </c>
      <c r="L232" s="26">
        <f t="shared" si="24"/>
        <v>4020</v>
      </c>
      <c r="M232" s="26">
        <f t="shared" si="29"/>
        <v>200</v>
      </c>
      <c r="N232" s="26">
        <f t="shared" si="30"/>
        <v>0</v>
      </c>
      <c r="O232" s="27">
        <f t="shared" si="31"/>
        <v>27884.166666666664</v>
      </c>
    </row>
    <row r="233" spans="1:15" x14ac:dyDescent="0.3">
      <c r="A233" s="10" t="str">
        <v>EMP230</v>
      </c>
      <c r="B233" s="4" t="str">
        <v>Naveen T</v>
      </c>
      <c r="C233" s="4" t="str">
        <f>_xlfn.XLOOKUP(A233,'EMPLOYEE MASTER DATA'!A233:A532,'EMPLOYEE MASTER DATA'!D233:D532)</f>
        <v>Customer Relationship</v>
      </c>
      <c r="D233" s="4" t="str">
        <f>_xlfn.XLOOKUP(A233,'EMPLOYEE MASTER DATA'!A233:A532,'EMPLOYEE MASTER DATA'!E233:E532)</f>
        <v>Customer Service Executive</v>
      </c>
      <c r="E233" s="26">
        <f>_xlfn.XLOOKUP(A233,'EMPLOYEE MASTER DATA'!A233:A532,'EMPLOYEE MASTER DATA'!F233:F532)</f>
        <v>25000</v>
      </c>
      <c r="F233" s="26">
        <f t="shared" si="25"/>
        <v>1041.6666666666667</v>
      </c>
      <c r="G233" s="4">
        <v>19</v>
      </c>
      <c r="H233" s="4">
        <f>_xlfn.XLOOKUP(A233,'MONTHLY ATTENDANCE SUMMARY'!A232:A531,'MONTHLY ATTENDANCE SUMMARY'!F232:F531)</f>
        <v>1</v>
      </c>
      <c r="I233" s="4">
        <f t="shared" si="26"/>
        <v>1</v>
      </c>
      <c r="J233" s="4">
        <f t="shared" si="27"/>
        <v>0</v>
      </c>
      <c r="K233" s="26">
        <f t="shared" si="28"/>
        <v>20833.333333333336</v>
      </c>
      <c r="L233" s="26">
        <f t="shared" si="24"/>
        <v>3000</v>
      </c>
      <c r="M233" s="26">
        <f t="shared" si="29"/>
        <v>0</v>
      </c>
      <c r="N233" s="26">
        <f t="shared" si="30"/>
        <v>156.25</v>
      </c>
      <c r="O233" s="27">
        <f t="shared" si="31"/>
        <v>17677.083333333336</v>
      </c>
    </row>
    <row r="234" spans="1:15" x14ac:dyDescent="0.3">
      <c r="A234" s="10" t="str">
        <v>EMP231</v>
      </c>
      <c r="B234" s="4" t="str">
        <v>Ganesh R</v>
      </c>
      <c r="C234" s="4" t="str">
        <f>_xlfn.XLOOKUP(A234,'EMPLOYEE MASTER DATA'!A234:A533,'EMPLOYEE MASTER DATA'!D234:D533)</f>
        <v>Maintenance</v>
      </c>
      <c r="D234" s="4" t="str">
        <f>_xlfn.XLOOKUP(A234,'EMPLOYEE MASTER DATA'!A234:A533,'EMPLOYEE MASTER DATA'!E234:E533)</f>
        <v>Maintenance Engineer</v>
      </c>
      <c r="E234" s="26">
        <f>_xlfn.XLOOKUP(A234,'EMPLOYEE MASTER DATA'!A234:A533,'EMPLOYEE MASTER DATA'!F234:F533)</f>
        <v>46000</v>
      </c>
      <c r="F234" s="26">
        <f t="shared" si="25"/>
        <v>1916.6666666666667</v>
      </c>
      <c r="G234" s="4">
        <v>19</v>
      </c>
      <c r="H234" s="4">
        <f>_xlfn.XLOOKUP(A234,'MONTHLY ATTENDANCE SUMMARY'!A233:A532,'MONTHLY ATTENDANCE SUMMARY'!F233:F532)</f>
        <v>1</v>
      </c>
      <c r="I234" s="4">
        <f t="shared" si="26"/>
        <v>1</v>
      </c>
      <c r="J234" s="4">
        <f t="shared" si="27"/>
        <v>0</v>
      </c>
      <c r="K234" s="26">
        <f t="shared" si="28"/>
        <v>38333.333333333336</v>
      </c>
      <c r="L234" s="26">
        <f t="shared" si="24"/>
        <v>5520</v>
      </c>
      <c r="M234" s="26">
        <f t="shared" si="29"/>
        <v>200</v>
      </c>
      <c r="N234" s="26">
        <f t="shared" si="30"/>
        <v>0</v>
      </c>
      <c r="O234" s="27">
        <f t="shared" si="31"/>
        <v>32613.333333333336</v>
      </c>
    </row>
    <row r="235" spans="1:15" x14ac:dyDescent="0.3">
      <c r="A235" s="10" t="str">
        <v>EMP232</v>
      </c>
      <c r="B235" s="4" t="str">
        <v>Dinesh M</v>
      </c>
      <c r="C235" s="4" t="str">
        <f>_xlfn.XLOOKUP(A235,'EMPLOYEE MASTER DATA'!A235:A534,'EMPLOYEE MASTER DATA'!D235:D534)</f>
        <v>Customer Relationship</v>
      </c>
      <c r="D235" s="4" t="str">
        <f>_xlfn.XLOOKUP(A235,'EMPLOYEE MASTER DATA'!A235:A534,'EMPLOYEE MASTER DATA'!E235:E534)</f>
        <v>Relationship Manager</v>
      </c>
      <c r="E235" s="26">
        <f>_xlfn.XLOOKUP(A235,'EMPLOYEE MASTER DATA'!A235:A534,'EMPLOYEE MASTER DATA'!F235:F534)</f>
        <v>50500</v>
      </c>
      <c r="F235" s="26">
        <f t="shared" si="25"/>
        <v>2104.1666666666665</v>
      </c>
      <c r="G235" s="4">
        <v>22</v>
      </c>
      <c r="H235" s="4">
        <f>_xlfn.XLOOKUP(A235,'MONTHLY ATTENDANCE SUMMARY'!A234:A533,'MONTHLY ATTENDANCE SUMMARY'!F234:F533)</f>
        <v>2</v>
      </c>
      <c r="I235" s="4">
        <f t="shared" si="26"/>
        <v>1</v>
      </c>
      <c r="J235" s="4">
        <f t="shared" si="27"/>
        <v>1</v>
      </c>
      <c r="K235" s="26">
        <f t="shared" si="28"/>
        <v>49447.916666666664</v>
      </c>
      <c r="L235" s="26">
        <f t="shared" si="24"/>
        <v>6060</v>
      </c>
      <c r="M235" s="26">
        <f t="shared" si="29"/>
        <v>200</v>
      </c>
      <c r="N235" s="26">
        <f t="shared" si="30"/>
        <v>0</v>
      </c>
      <c r="O235" s="27">
        <f t="shared" si="31"/>
        <v>43187.916666666664</v>
      </c>
    </row>
    <row r="236" spans="1:15" x14ac:dyDescent="0.3">
      <c r="A236" s="10" t="str">
        <v>EMP233</v>
      </c>
      <c r="B236" s="4" t="str">
        <v>Praveen Murugan</v>
      </c>
      <c r="C236" s="4" t="str">
        <f>_xlfn.XLOOKUP(A236,'EMPLOYEE MASTER DATA'!A236:A535,'EMPLOYEE MASTER DATA'!D236:D535)</f>
        <v>Procurement</v>
      </c>
      <c r="D236" s="4" t="str">
        <f>_xlfn.XLOOKUP(A236,'EMPLOYEE MASTER DATA'!A236:A535,'EMPLOYEE MASTER DATA'!E236:E535)</f>
        <v>Procurement Executive</v>
      </c>
      <c r="E236" s="26">
        <f>_xlfn.XLOOKUP(A236,'EMPLOYEE MASTER DATA'!A236:A535,'EMPLOYEE MASTER DATA'!F236:F535)</f>
        <v>34500</v>
      </c>
      <c r="F236" s="26">
        <f t="shared" si="25"/>
        <v>1437.5</v>
      </c>
      <c r="G236" s="4">
        <v>19</v>
      </c>
      <c r="H236" s="4">
        <f>_xlfn.XLOOKUP(A236,'MONTHLY ATTENDANCE SUMMARY'!A235:A534,'MONTHLY ATTENDANCE SUMMARY'!F235:F534)</f>
        <v>1</v>
      </c>
      <c r="I236" s="4">
        <f t="shared" si="26"/>
        <v>1</v>
      </c>
      <c r="J236" s="4">
        <f t="shared" si="27"/>
        <v>0</v>
      </c>
      <c r="K236" s="26">
        <f t="shared" si="28"/>
        <v>28750</v>
      </c>
      <c r="L236" s="26">
        <f t="shared" si="24"/>
        <v>4140</v>
      </c>
      <c r="M236" s="26">
        <f t="shared" si="29"/>
        <v>200</v>
      </c>
      <c r="N236" s="26">
        <f t="shared" si="30"/>
        <v>0</v>
      </c>
      <c r="O236" s="27">
        <f t="shared" si="31"/>
        <v>24410</v>
      </c>
    </row>
    <row r="237" spans="1:15" x14ac:dyDescent="0.3">
      <c r="A237" s="10" t="str">
        <v>EMP234</v>
      </c>
      <c r="B237" s="4" t="str">
        <v>Lokesh Selvam</v>
      </c>
      <c r="C237" s="4" t="str">
        <f>_xlfn.XLOOKUP(A237,'EMPLOYEE MASTER DATA'!A237:A536,'EMPLOYEE MASTER DATA'!D237:D536)</f>
        <v>Back End</v>
      </c>
      <c r="D237" s="4" t="str">
        <f>_xlfn.XLOOKUP(A237,'EMPLOYEE MASTER DATA'!A237:A536,'EMPLOYEE MASTER DATA'!E237:E536)</f>
        <v>MIS Executive</v>
      </c>
      <c r="E237" s="26">
        <f>_xlfn.XLOOKUP(A237,'EMPLOYEE MASTER DATA'!A237:A536,'EMPLOYEE MASTER DATA'!F237:F536)</f>
        <v>28000</v>
      </c>
      <c r="F237" s="26">
        <f t="shared" si="25"/>
        <v>1166.6666666666667</v>
      </c>
      <c r="G237" s="4">
        <v>21</v>
      </c>
      <c r="H237" s="4">
        <f>_xlfn.XLOOKUP(A237,'MONTHLY ATTENDANCE SUMMARY'!A236:A535,'MONTHLY ATTENDANCE SUMMARY'!F236:F535)</f>
        <v>2</v>
      </c>
      <c r="I237" s="4">
        <f t="shared" si="26"/>
        <v>1</v>
      </c>
      <c r="J237" s="4">
        <f t="shared" si="27"/>
        <v>1</v>
      </c>
      <c r="K237" s="26">
        <f t="shared" si="28"/>
        <v>26250</v>
      </c>
      <c r="L237" s="26">
        <f t="shared" si="24"/>
        <v>3360</v>
      </c>
      <c r="M237" s="26">
        <f t="shared" si="29"/>
        <v>200</v>
      </c>
      <c r="N237" s="26">
        <f t="shared" si="30"/>
        <v>0</v>
      </c>
      <c r="O237" s="27">
        <f t="shared" si="31"/>
        <v>22690</v>
      </c>
    </row>
    <row r="238" spans="1:15" x14ac:dyDescent="0.3">
      <c r="A238" s="10" t="str">
        <v>EMP235</v>
      </c>
      <c r="B238" s="4" t="str">
        <v>Vinoth Babu</v>
      </c>
      <c r="C238" s="4" t="str">
        <f>_xlfn.XLOOKUP(A238,'EMPLOYEE MASTER DATA'!A238:A537,'EMPLOYEE MASTER DATA'!D238:D537)</f>
        <v>Front Office</v>
      </c>
      <c r="D238" s="4" t="str">
        <f>_xlfn.XLOOKUP(A238,'EMPLOYEE MASTER DATA'!A238:A537,'EMPLOYEE MASTER DATA'!E238:E537)</f>
        <v>Front Desk Coordinator</v>
      </c>
      <c r="E238" s="26">
        <f>_xlfn.XLOOKUP(A238,'EMPLOYEE MASTER DATA'!A238:A537,'EMPLOYEE MASTER DATA'!F238:F537)</f>
        <v>27500</v>
      </c>
      <c r="F238" s="26">
        <f t="shared" si="25"/>
        <v>1145.8333333333333</v>
      </c>
      <c r="G238" s="4">
        <v>20</v>
      </c>
      <c r="H238" s="4">
        <f>_xlfn.XLOOKUP(A238,'MONTHLY ATTENDANCE SUMMARY'!A237:A536,'MONTHLY ATTENDANCE SUMMARY'!F237:F536)</f>
        <v>1</v>
      </c>
      <c r="I238" s="4">
        <f t="shared" si="26"/>
        <v>1</v>
      </c>
      <c r="J238" s="4">
        <f t="shared" si="27"/>
        <v>0</v>
      </c>
      <c r="K238" s="26">
        <f t="shared" si="28"/>
        <v>24062.5</v>
      </c>
      <c r="L238" s="26">
        <f t="shared" si="24"/>
        <v>3300</v>
      </c>
      <c r="M238" s="26">
        <f t="shared" si="29"/>
        <v>200</v>
      </c>
      <c r="N238" s="26">
        <f t="shared" si="30"/>
        <v>0</v>
      </c>
      <c r="O238" s="27">
        <f t="shared" si="31"/>
        <v>20562.5</v>
      </c>
    </row>
    <row r="239" spans="1:15" x14ac:dyDescent="0.3">
      <c r="A239" s="10" t="str">
        <v>EMP236</v>
      </c>
      <c r="B239" s="4" t="str">
        <v>Mohan T</v>
      </c>
      <c r="C239" s="4" t="str">
        <f>_xlfn.XLOOKUP(A239,'EMPLOYEE MASTER DATA'!A239:A538,'EMPLOYEE MASTER DATA'!D239:D538)</f>
        <v>Sales</v>
      </c>
      <c r="D239" s="4" t="str">
        <f>_xlfn.XLOOKUP(A239,'EMPLOYEE MASTER DATA'!A239:A538,'EMPLOYEE MASTER DATA'!E239:E538)</f>
        <v>Senior Sales Executive</v>
      </c>
      <c r="E239" s="26">
        <f>_xlfn.XLOOKUP(A239,'EMPLOYEE MASTER DATA'!A239:A538,'EMPLOYEE MASTER DATA'!F239:F538)</f>
        <v>35000</v>
      </c>
      <c r="F239" s="26">
        <f t="shared" si="25"/>
        <v>1458.3333333333333</v>
      </c>
      <c r="G239" s="4">
        <v>20</v>
      </c>
      <c r="H239" s="4">
        <f>_xlfn.XLOOKUP(A239,'MONTHLY ATTENDANCE SUMMARY'!A238:A537,'MONTHLY ATTENDANCE SUMMARY'!F238:F537)</f>
        <v>2</v>
      </c>
      <c r="I239" s="4">
        <f t="shared" si="26"/>
        <v>1</v>
      </c>
      <c r="J239" s="4">
        <f t="shared" si="27"/>
        <v>1</v>
      </c>
      <c r="K239" s="26">
        <f t="shared" si="28"/>
        <v>31354.166666666664</v>
      </c>
      <c r="L239" s="26">
        <f t="shared" si="24"/>
        <v>4200</v>
      </c>
      <c r="M239" s="26">
        <f t="shared" si="29"/>
        <v>200</v>
      </c>
      <c r="N239" s="26">
        <f t="shared" si="30"/>
        <v>0</v>
      </c>
      <c r="O239" s="27">
        <f t="shared" si="31"/>
        <v>26954.166666666664</v>
      </c>
    </row>
    <row r="240" spans="1:15" x14ac:dyDescent="0.3">
      <c r="A240" s="10" t="str">
        <v>EMP237</v>
      </c>
      <c r="B240" s="4" t="str">
        <v>Karthik N</v>
      </c>
      <c r="C240" s="4" t="str">
        <f>_xlfn.XLOOKUP(A240,'EMPLOYEE MASTER DATA'!A240:A539,'EMPLOYEE MASTER DATA'!D240:D539)</f>
        <v>HR</v>
      </c>
      <c r="D240" s="4" t="str">
        <f>_xlfn.XLOOKUP(A240,'EMPLOYEE MASTER DATA'!A240:A539,'EMPLOYEE MASTER DATA'!E240:E539)</f>
        <v>HR Manager</v>
      </c>
      <c r="E240" s="26">
        <f>_xlfn.XLOOKUP(A240,'EMPLOYEE MASTER DATA'!A240:A539,'EMPLOYEE MASTER DATA'!F240:F539)</f>
        <v>84500</v>
      </c>
      <c r="F240" s="26">
        <f t="shared" si="25"/>
        <v>3520.8333333333335</v>
      </c>
      <c r="G240" s="4">
        <v>18</v>
      </c>
      <c r="H240" s="4">
        <f>_xlfn.XLOOKUP(A240,'MONTHLY ATTENDANCE SUMMARY'!A239:A538,'MONTHLY ATTENDANCE SUMMARY'!F239:F538)</f>
        <v>2</v>
      </c>
      <c r="I240" s="4">
        <f t="shared" si="26"/>
        <v>1</v>
      </c>
      <c r="J240" s="4">
        <f t="shared" si="27"/>
        <v>1</v>
      </c>
      <c r="K240" s="26">
        <f t="shared" si="28"/>
        <v>68656.25</v>
      </c>
      <c r="L240" s="26">
        <f t="shared" si="24"/>
        <v>10140</v>
      </c>
      <c r="M240" s="26">
        <f t="shared" si="29"/>
        <v>200</v>
      </c>
      <c r="N240" s="26">
        <f t="shared" si="30"/>
        <v>0</v>
      </c>
      <c r="O240" s="27">
        <f t="shared" si="31"/>
        <v>58316.25</v>
      </c>
    </row>
    <row r="241" spans="1:15" x14ac:dyDescent="0.3">
      <c r="A241" s="10" t="str">
        <v>EMP238</v>
      </c>
      <c r="B241" s="4" t="str">
        <v>Nithin Raja</v>
      </c>
      <c r="C241" s="4" t="str">
        <f>_xlfn.XLOOKUP(A241,'EMPLOYEE MASTER DATA'!A241:A540,'EMPLOYEE MASTER DATA'!D241:D540)</f>
        <v>Customer Relationship</v>
      </c>
      <c r="D241" s="4" t="str">
        <f>_xlfn.XLOOKUP(A241,'EMPLOYEE MASTER DATA'!A241:A540,'EMPLOYEE MASTER DATA'!E241:E540)</f>
        <v>Customer Service Executive</v>
      </c>
      <c r="E241" s="26">
        <f>_xlfn.XLOOKUP(A241,'EMPLOYEE MASTER DATA'!A241:A540,'EMPLOYEE MASTER DATA'!F241:F540)</f>
        <v>23500</v>
      </c>
      <c r="F241" s="26">
        <f t="shared" si="25"/>
        <v>979.16666666666663</v>
      </c>
      <c r="G241" s="4">
        <v>19</v>
      </c>
      <c r="H241" s="4">
        <f>_xlfn.XLOOKUP(A241,'MONTHLY ATTENDANCE SUMMARY'!A240:A539,'MONTHLY ATTENDANCE SUMMARY'!F240:F539)</f>
        <v>1</v>
      </c>
      <c r="I241" s="4">
        <f t="shared" si="26"/>
        <v>1</v>
      </c>
      <c r="J241" s="4">
        <f t="shared" si="27"/>
        <v>0</v>
      </c>
      <c r="K241" s="26">
        <f t="shared" si="28"/>
        <v>19583.333333333332</v>
      </c>
      <c r="L241" s="26">
        <f t="shared" si="24"/>
        <v>2820</v>
      </c>
      <c r="M241" s="26">
        <f t="shared" si="29"/>
        <v>0</v>
      </c>
      <c r="N241" s="26">
        <f t="shared" si="30"/>
        <v>146.87499999999997</v>
      </c>
      <c r="O241" s="27">
        <f t="shared" si="31"/>
        <v>16616.458333333332</v>
      </c>
    </row>
    <row r="242" spans="1:15" x14ac:dyDescent="0.3">
      <c r="A242" s="10" t="str">
        <v>EMP239</v>
      </c>
      <c r="B242" s="4" t="str">
        <v>Mohan Prasad</v>
      </c>
      <c r="C242" s="4" t="str">
        <f>_xlfn.XLOOKUP(A242,'EMPLOYEE MASTER DATA'!A242:A541,'EMPLOYEE MASTER DATA'!D242:D541)</f>
        <v>Front Office</v>
      </c>
      <c r="D242" s="4" t="str">
        <f>_xlfn.XLOOKUP(A242,'EMPLOYEE MASTER DATA'!A242:A541,'EMPLOYEE MASTER DATA'!E242:E541)</f>
        <v>Front Office Manager</v>
      </c>
      <c r="E242" s="26">
        <f>_xlfn.XLOOKUP(A242,'EMPLOYEE MASTER DATA'!A242:A541,'EMPLOYEE MASTER DATA'!F242:F541)</f>
        <v>55000</v>
      </c>
      <c r="F242" s="26">
        <f t="shared" si="25"/>
        <v>2291.6666666666665</v>
      </c>
      <c r="G242" s="4">
        <v>19</v>
      </c>
      <c r="H242" s="4">
        <f>_xlfn.XLOOKUP(A242,'MONTHLY ATTENDANCE SUMMARY'!A241:A540,'MONTHLY ATTENDANCE SUMMARY'!F241:F540)</f>
        <v>2</v>
      </c>
      <c r="I242" s="4">
        <f t="shared" si="26"/>
        <v>1</v>
      </c>
      <c r="J242" s="4">
        <f t="shared" si="27"/>
        <v>1</v>
      </c>
      <c r="K242" s="26">
        <f t="shared" si="28"/>
        <v>46979.166666666664</v>
      </c>
      <c r="L242" s="26">
        <f t="shared" si="24"/>
        <v>6600</v>
      </c>
      <c r="M242" s="26">
        <f t="shared" si="29"/>
        <v>200</v>
      </c>
      <c r="N242" s="26">
        <f t="shared" si="30"/>
        <v>0</v>
      </c>
      <c r="O242" s="27">
        <f t="shared" si="31"/>
        <v>40179.166666666664</v>
      </c>
    </row>
    <row r="243" spans="1:15" x14ac:dyDescent="0.3">
      <c r="A243" s="10" t="str">
        <v>EMP240</v>
      </c>
      <c r="B243" s="4" t="str">
        <v>Naveen K</v>
      </c>
      <c r="C243" s="4" t="str">
        <f>_xlfn.XLOOKUP(A243,'EMPLOYEE MASTER DATA'!A243:A542,'EMPLOYEE MASTER DATA'!D243:D542)</f>
        <v>Sales</v>
      </c>
      <c r="D243" s="4" t="str">
        <f>_xlfn.XLOOKUP(A243,'EMPLOYEE MASTER DATA'!A243:A542,'EMPLOYEE MASTER DATA'!E243:E542)</f>
        <v>Senior Sales Executive</v>
      </c>
      <c r="E243" s="26">
        <f>_xlfn.XLOOKUP(A243,'EMPLOYEE MASTER DATA'!A243:A542,'EMPLOYEE MASTER DATA'!F243:F542)</f>
        <v>44500</v>
      </c>
      <c r="F243" s="26">
        <f t="shared" si="25"/>
        <v>1854.1666666666667</v>
      </c>
      <c r="G243" s="4">
        <v>22</v>
      </c>
      <c r="H243" s="4">
        <f>_xlfn.XLOOKUP(A243,'MONTHLY ATTENDANCE SUMMARY'!A242:A541,'MONTHLY ATTENDANCE SUMMARY'!F242:F541)</f>
        <v>1</v>
      </c>
      <c r="I243" s="4">
        <f t="shared" si="26"/>
        <v>1</v>
      </c>
      <c r="J243" s="4">
        <f t="shared" si="27"/>
        <v>0</v>
      </c>
      <c r="K243" s="26">
        <f t="shared" si="28"/>
        <v>42645.833333333336</v>
      </c>
      <c r="L243" s="26">
        <f t="shared" si="24"/>
        <v>5340</v>
      </c>
      <c r="M243" s="26">
        <f t="shared" si="29"/>
        <v>200</v>
      </c>
      <c r="N243" s="26">
        <f t="shared" si="30"/>
        <v>0</v>
      </c>
      <c r="O243" s="27">
        <f t="shared" si="31"/>
        <v>37105.833333333336</v>
      </c>
    </row>
    <row r="244" spans="1:15" x14ac:dyDescent="0.3">
      <c r="A244" s="10" t="str">
        <v>EMP241</v>
      </c>
      <c r="B244" s="4" t="str">
        <v>Ajay M</v>
      </c>
      <c r="C244" s="4" t="str">
        <f>_xlfn.XLOOKUP(A244,'EMPLOYEE MASTER DATA'!A244:A543,'EMPLOYEE MASTER DATA'!D244:D543)</f>
        <v>Sales</v>
      </c>
      <c r="D244" s="4" t="str">
        <f>_xlfn.XLOOKUP(A244,'EMPLOYEE MASTER DATA'!A244:A543,'EMPLOYEE MASTER DATA'!E244:E543)</f>
        <v>Key Account Executive</v>
      </c>
      <c r="E244" s="26">
        <f>_xlfn.XLOOKUP(A244,'EMPLOYEE MASTER DATA'!A244:A543,'EMPLOYEE MASTER DATA'!F244:F543)</f>
        <v>47500</v>
      </c>
      <c r="F244" s="26">
        <f t="shared" si="25"/>
        <v>1979.1666666666667</v>
      </c>
      <c r="G244" s="4">
        <v>21</v>
      </c>
      <c r="H244" s="4">
        <f>_xlfn.XLOOKUP(A244,'MONTHLY ATTENDANCE SUMMARY'!A243:A542,'MONTHLY ATTENDANCE SUMMARY'!F243:F542)</f>
        <v>2</v>
      </c>
      <c r="I244" s="4">
        <f t="shared" si="26"/>
        <v>1</v>
      </c>
      <c r="J244" s="4">
        <f t="shared" si="27"/>
        <v>1</v>
      </c>
      <c r="K244" s="26">
        <f t="shared" si="28"/>
        <v>44531.25</v>
      </c>
      <c r="L244" s="26">
        <f t="shared" si="24"/>
        <v>5700</v>
      </c>
      <c r="M244" s="26">
        <f t="shared" si="29"/>
        <v>200</v>
      </c>
      <c r="N244" s="26">
        <f t="shared" si="30"/>
        <v>0</v>
      </c>
      <c r="O244" s="27">
        <f t="shared" si="31"/>
        <v>38631.25</v>
      </c>
    </row>
    <row r="245" spans="1:15" x14ac:dyDescent="0.3">
      <c r="A245" s="10" t="str">
        <v>EMP242</v>
      </c>
      <c r="B245" s="4" t="str">
        <v>Suresh Kannan</v>
      </c>
      <c r="C245" s="4" t="str">
        <f>_xlfn.XLOOKUP(A245,'EMPLOYEE MASTER DATA'!A245:A544,'EMPLOYEE MASTER DATA'!D245:D544)</f>
        <v>Production</v>
      </c>
      <c r="D245" s="4" t="str">
        <f>_xlfn.XLOOKUP(A245,'EMPLOYEE MASTER DATA'!A245:A544,'EMPLOYEE MASTER DATA'!E245:E544)</f>
        <v>Production Manager</v>
      </c>
      <c r="E245" s="26">
        <f>_xlfn.XLOOKUP(A245,'EMPLOYEE MASTER DATA'!A245:A544,'EMPLOYEE MASTER DATA'!F245:F544)</f>
        <v>84000</v>
      </c>
      <c r="F245" s="26">
        <f t="shared" si="25"/>
        <v>3500</v>
      </c>
      <c r="G245" s="4">
        <v>10</v>
      </c>
      <c r="H245" s="4">
        <f>_xlfn.XLOOKUP(A245,'MONTHLY ATTENDANCE SUMMARY'!A244:A543,'MONTHLY ATTENDANCE SUMMARY'!F244:F543)</f>
        <v>1</v>
      </c>
      <c r="I245" s="4">
        <f t="shared" si="26"/>
        <v>1</v>
      </c>
      <c r="J245" s="4">
        <f t="shared" si="27"/>
        <v>0</v>
      </c>
      <c r="K245" s="26">
        <f t="shared" si="28"/>
        <v>38500</v>
      </c>
      <c r="L245" s="26">
        <f t="shared" si="24"/>
        <v>10080</v>
      </c>
      <c r="M245" s="26">
        <f t="shared" si="29"/>
        <v>200</v>
      </c>
      <c r="N245" s="26">
        <f t="shared" si="30"/>
        <v>0</v>
      </c>
      <c r="O245" s="27">
        <f t="shared" si="31"/>
        <v>28220</v>
      </c>
    </row>
    <row r="246" spans="1:15" x14ac:dyDescent="0.3">
      <c r="A246" s="10" t="str">
        <v>EMP243</v>
      </c>
      <c r="B246" s="4" t="str">
        <v>Naveen Raja</v>
      </c>
      <c r="C246" s="4" t="str">
        <f>_xlfn.XLOOKUP(A246,'EMPLOYEE MASTER DATA'!A246:A545,'EMPLOYEE MASTER DATA'!D246:D545)</f>
        <v>Admin</v>
      </c>
      <c r="D246" s="4" t="str">
        <f>_xlfn.XLOOKUP(A246,'EMPLOYEE MASTER DATA'!A246:A545,'EMPLOYEE MASTER DATA'!E246:E545)</f>
        <v>Admin Executive</v>
      </c>
      <c r="E246" s="26">
        <f>_xlfn.XLOOKUP(A246,'EMPLOYEE MASTER DATA'!A246:A545,'EMPLOYEE MASTER DATA'!F246:F545)</f>
        <v>29000</v>
      </c>
      <c r="F246" s="26">
        <f t="shared" si="25"/>
        <v>1208.3333333333333</v>
      </c>
      <c r="G246" s="4">
        <v>19</v>
      </c>
      <c r="H246" s="4">
        <f>_xlfn.XLOOKUP(A246,'MONTHLY ATTENDANCE SUMMARY'!A245:A544,'MONTHLY ATTENDANCE SUMMARY'!F245:F544)</f>
        <v>2</v>
      </c>
      <c r="I246" s="4">
        <f t="shared" si="26"/>
        <v>1</v>
      </c>
      <c r="J246" s="4">
        <f t="shared" si="27"/>
        <v>1</v>
      </c>
      <c r="K246" s="26">
        <f t="shared" si="28"/>
        <v>24770.833333333332</v>
      </c>
      <c r="L246" s="26">
        <f t="shared" si="24"/>
        <v>3480</v>
      </c>
      <c r="M246" s="26">
        <f t="shared" si="29"/>
        <v>200</v>
      </c>
      <c r="N246" s="26">
        <f t="shared" si="30"/>
        <v>0</v>
      </c>
      <c r="O246" s="27">
        <f t="shared" si="31"/>
        <v>21090.833333333332</v>
      </c>
    </row>
    <row r="247" spans="1:15" x14ac:dyDescent="0.3">
      <c r="A247" s="10" t="str">
        <v>EMP244</v>
      </c>
      <c r="B247" s="4" t="str">
        <v>Praveen T</v>
      </c>
      <c r="C247" s="4" t="str">
        <f>_xlfn.XLOOKUP(A247,'EMPLOYEE MASTER DATA'!A247:A546,'EMPLOYEE MASTER DATA'!D247:D546)</f>
        <v>Business Development</v>
      </c>
      <c r="D247" s="4" t="str">
        <f>_xlfn.XLOOKUP(A247,'EMPLOYEE MASTER DATA'!A247:A546,'EMPLOYEE MASTER DATA'!E247:E546)</f>
        <v>Corporate Sales Executive</v>
      </c>
      <c r="E247" s="26">
        <f>_xlfn.XLOOKUP(A247,'EMPLOYEE MASTER DATA'!A247:A546,'EMPLOYEE MASTER DATA'!F247:F546)</f>
        <v>49000</v>
      </c>
      <c r="F247" s="26">
        <f t="shared" si="25"/>
        <v>2041.6666666666667</v>
      </c>
      <c r="G247" s="4">
        <v>20</v>
      </c>
      <c r="H247" s="4">
        <f>_xlfn.XLOOKUP(A247,'MONTHLY ATTENDANCE SUMMARY'!A246:A545,'MONTHLY ATTENDANCE SUMMARY'!F246:F545)</f>
        <v>2</v>
      </c>
      <c r="I247" s="4">
        <f t="shared" si="26"/>
        <v>1</v>
      </c>
      <c r="J247" s="4">
        <f t="shared" si="27"/>
        <v>1</v>
      </c>
      <c r="K247" s="26">
        <f t="shared" si="28"/>
        <v>43895.833333333336</v>
      </c>
      <c r="L247" s="26">
        <f t="shared" si="24"/>
        <v>5880</v>
      </c>
      <c r="M247" s="26">
        <f t="shared" si="29"/>
        <v>200</v>
      </c>
      <c r="N247" s="26">
        <f t="shared" si="30"/>
        <v>0</v>
      </c>
      <c r="O247" s="27">
        <f t="shared" si="31"/>
        <v>37815.833333333336</v>
      </c>
    </row>
    <row r="248" spans="1:15" x14ac:dyDescent="0.3">
      <c r="A248" s="10" t="str">
        <v>EMP245</v>
      </c>
      <c r="B248" s="4" t="str">
        <v>Ajay P</v>
      </c>
      <c r="C248" s="4" t="str">
        <f>_xlfn.XLOOKUP(A248,'EMPLOYEE MASTER DATA'!A248:A547,'EMPLOYEE MASTER DATA'!D248:D547)</f>
        <v>Admin</v>
      </c>
      <c r="D248" s="4" t="str">
        <f>_xlfn.XLOOKUP(A248,'EMPLOYEE MASTER DATA'!A248:A547,'EMPLOYEE MASTER DATA'!E248:E547)</f>
        <v>Office Administrator</v>
      </c>
      <c r="E248" s="26">
        <f>_xlfn.XLOOKUP(A248,'EMPLOYEE MASTER DATA'!A248:A547,'EMPLOYEE MASTER DATA'!F248:F547)</f>
        <v>28500</v>
      </c>
      <c r="F248" s="26">
        <f t="shared" si="25"/>
        <v>1187.5</v>
      </c>
      <c r="G248" s="4">
        <v>22</v>
      </c>
      <c r="H248" s="4">
        <f>_xlfn.XLOOKUP(A248,'MONTHLY ATTENDANCE SUMMARY'!A247:A546,'MONTHLY ATTENDANCE SUMMARY'!F247:F546)</f>
        <v>2</v>
      </c>
      <c r="I248" s="4">
        <f t="shared" si="26"/>
        <v>1</v>
      </c>
      <c r="J248" s="4">
        <f t="shared" si="27"/>
        <v>1</v>
      </c>
      <c r="K248" s="26">
        <f t="shared" si="28"/>
        <v>27906.25</v>
      </c>
      <c r="L248" s="26">
        <f t="shared" si="24"/>
        <v>3420</v>
      </c>
      <c r="M248" s="26">
        <f t="shared" si="29"/>
        <v>200</v>
      </c>
      <c r="N248" s="26">
        <f t="shared" si="30"/>
        <v>0</v>
      </c>
      <c r="O248" s="27">
        <f t="shared" si="31"/>
        <v>24286.25</v>
      </c>
    </row>
    <row r="249" spans="1:15" x14ac:dyDescent="0.3">
      <c r="A249" s="10" t="str">
        <v>EMP246</v>
      </c>
      <c r="B249" s="4" t="str">
        <v>Bharath Raja</v>
      </c>
      <c r="C249" s="4" t="str">
        <f>_xlfn.XLOOKUP(A249,'EMPLOYEE MASTER DATA'!A249:A548,'EMPLOYEE MASTER DATA'!D249:D548)</f>
        <v>Production</v>
      </c>
      <c r="D249" s="4" t="str">
        <f>_xlfn.XLOOKUP(A249,'EMPLOYEE MASTER DATA'!A249:A548,'EMPLOYEE MASTER DATA'!E249:E548)</f>
        <v>Production Supervisor</v>
      </c>
      <c r="E249" s="26">
        <f>_xlfn.XLOOKUP(A249,'EMPLOYEE MASTER DATA'!A249:A548,'EMPLOYEE MASTER DATA'!F249:F548)</f>
        <v>44000</v>
      </c>
      <c r="F249" s="26">
        <f t="shared" si="25"/>
        <v>1833.3333333333333</v>
      </c>
      <c r="G249" s="4">
        <v>19</v>
      </c>
      <c r="H249" s="4">
        <f>_xlfn.XLOOKUP(A249,'MONTHLY ATTENDANCE SUMMARY'!A248:A547,'MONTHLY ATTENDANCE SUMMARY'!F248:F547)</f>
        <v>1</v>
      </c>
      <c r="I249" s="4">
        <f t="shared" si="26"/>
        <v>1</v>
      </c>
      <c r="J249" s="4">
        <f t="shared" si="27"/>
        <v>0</v>
      </c>
      <c r="K249" s="26">
        <f t="shared" si="28"/>
        <v>36666.666666666664</v>
      </c>
      <c r="L249" s="26">
        <f t="shared" si="24"/>
        <v>5280</v>
      </c>
      <c r="M249" s="26">
        <f t="shared" si="29"/>
        <v>200</v>
      </c>
      <c r="N249" s="26">
        <f t="shared" si="30"/>
        <v>0</v>
      </c>
      <c r="O249" s="27">
        <f t="shared" si="31"/>
        <v>31186.666666666664</v>
      </c>
    </row>
    <row r="250" spans="1:15" x14ac:dyDescent="0.3">
      <c r="A250" s="10" t="str">
        <v>EMP247</v>
      </c>
      <c r="B250" s="4" t="str">
        <v>Nithin Selvam</v>
      </c>
      <c r="C250" s="4" t="str">
        <f>_xlfn.XLOOKUP(A250,'EMPLOYEE MASTER DATA'!A250:A549,'EMPLOYEE MASTER DATA'!D250:D549)</f>
        <v>Customer Relationship</v>
      </c>
      <c r="D250" s="4" t="str">
        <f>_xlfn.XLOOKUP(A250,'EMPLOYEE MASTER DATA'!A250:A549,'EMPLOYEE MASTER DATA'!E250:E549)</f>
        <v>CRM Executive</v>
      </c>
      <c r="E250" s="26">
        <f>_xlfn.XLOOKUP(A250,'EMPLOYEE MASTER DATA'!A250:A549,'EMPLOYEE MASTER DATA'!F250:F549)</f>
        <v>24000</v>
      </c>
      <c r="F250" s="26">
        <f t="shared" si="25"/>
        <v>1000</v>
      </c>
      <c r="G250" s="4">
        <v>21</v>
      </c>
      <c r="H250" s="4">
        <f>_xlfn.XLOOKUP(A250,'MONTHLY ATTENDANCE SUMMARY'!A249:A548,'MONTHLY ATTENDANCE SUMMARY'!F249:F548)</f>
        <v>1</v>
      </c>
      <c r="I250" s="4">
        <f t="shared" si="26"/>
        <v>1</v>
      </c>
      <c r="J250" s="4">
        <f t="shared" si="27"/>
        <v>0</v>
      </c>
      <c r="K250" s="26">
        <f t="shared" si="28"/>
        <v>22000</v>
      </c>
      <c r="L250" s="26">
        <f t="shared" si="24"/>
        <v>2880</v>
      </c>
      <c r="M250" s="26">
        <f t="shared" si="29"/>
        <v>200</v>
      </c>
      <c r="N250" s="26">
        <f t="shared" si="30"/>
        <v>0</v>
      </c>
      <c r="O250" s="27">
        <f t="shared" si="31"/>
        <v>18920</v>
      </c>
    </row>
    <row r="251" spans="1:15" x14ac:dyDescent="0.3">
      <c r="A251" s="10" t="str">
        <v>EMP248</v>
      </c>
      <c r="B251" s="4" t="str">
        <v>Ramesh Raj</v>
      </c>
      <c r="C251" s="4" t="str">
        <f>_xlfn.XLOOKUP(A251,'EMPLOYEE MASTER DATA'!A251:A550,'EMPLOYEE MASTER DATA'!D251:D550)</f>
        <v>Procurement</v>
      </c>
      <c r="D251" s="4" t="str">
        <f>_xlfn.XLOOKUP(A251,'EMPLOYEE MASTER DATA'!A251:A550,'EMPLOYEE MASTER DATA'!E251:E550)</f>
        <v>Procurement Manager</v>
      </c>
      <c r="E251" s="26">
        <f>_xlfn.XLOOKUP(A251,'EMPLOYEE MASTER DATA'!A251:A550,'EMPLOYEE MASTER DATA'!F251:F550)</f>
        <v>80500</v>
      </c>
      <c r="F251" s="26">
        <f t="shared" si="25"/>
        <v>3354.1666666666665</v>
      </c>
      <c r="G251" s="4">
        <v>18</v>
      </c>
      <c r="H251" s="4">
        <f>_xlfn.XLOOKUP(A251,'MONTHLY ATTENDANCE SUMMARY'!A250:A549,'MONTHLY ATTENDANCE SUMMARY'!F250:F549)</f>
        <v>1</v>
      </c>
      <c r="I251" s="4">
        <f t="shared" si="26"/>
        <v>1</v>
      </c>
      <c r="J251" s="4">
        <f t="shared" si="27"/>
        <v>0</v>
      </c>
      <c r="K251" s="26">
        <f t="shared" si="28"/>
        <v>63729.166666666664</v>
      </c>
      <c r="L251" s="26">
        <f t="shared" si="24"/>
        <v>9660</v>
      </c>
      <c r="M251" s="26">
        <f t="shared" si="29"/>
        <v>200</v>
      </c>
      <c r="N251" s="26">
        <f t="shared" si="30"/>
        <v>0</v>
      </c>
      <c r="O251" s="27">
        <f t="shared" si="31"/>
        <v>53869.166666666664</v>
      </c>
    </row>
    <row r="252" spans="1:15" x14ac:dyDescent="0.3">
      <c r="A252" s="10" t="str">
        <v>EMP249</v>
      </c>
      <c r="B252" s="4" t="str">
        <v>Yogesh Selvam</v>
      </c>
      <c r="C252" s="4" t="str">
        <f>_xlfn.XLOOKUP(A252,'EMPLOYEE MASTER DATA'!A252:A551,'EMPLOYEE MASTER DATA'!D252:D551)</f>
        <v>Front Office</v>
      </c>
      <c r="D252" s="4" t="str">
        <f>_xlfn.XLOOKUP(A252,'EMPLOYEE MASTER DATA'!A252:A551,'EMPLOYEE MASTER DATA'!E252:E551)</f>
        <v>Front Office Executive</v>
      </c>
      <c r="E252" s="26">
        <f>_xlfn.XLOOKUP(A252,'EMPLOYEE MASTER DATA'!A252:A551,'EMPLOYEE MASTER DATA'!F252:F551)</f>
        <v>30000</v>
      </c>
      <c r="F252" s="26">
        <f t="shared" si="25"/>
        <v>1250</v>
      </c>
      <c r="G252" s="4">
        <v>18</v>
      </c>
      <c r="H252" s="4">
        <f>_xlfn.XLOOKUP(A252,'MONTHLY ATTENDANCE SUMMARY'!A251:A550,'MONTHLY ATTENDANCE SUMMARY'!F251:F550)</f>
        <v>1</v>
      </c>
      <c r="I252" s="4">
        <f t="shared" si="26"/>
        <v>1</v>
      </c>
      <c r="J252" s="4">
        <f t="shared" si="27"/>
        <v>0</v>
      </c>
      <c r="K252" s="26">
        <f t="shared" si="28"/>
        <v>23750</v>
      </c>
      <c r="L252" s="26">
        <f t="shared" si="24"/>
        <v>3600</v>
      </c>
      <c r="M252" s="26">
        <f t="shared" si="29"/>
        <v>200</v>
      </c>
      <c r="N252" s="26">
        <f t="shared" si="30"/>
        <v>0</v>
      </c>
      <c r="O252" s="27">
        <f t="shared" si="31"/>
        <v>19950</v>
      </c>
    </row>
    <row r="253" spans="1:15" x14ac:dyDescent="0.3">
      <c r="A253" s="10" t="str">
        <v>EMP250</v>
      </c>
      <c r="B253" s="4" t="str">
        <v>Bharath T</v>
      </c>
      <c r="C253" s="4" t="str">
        <f>_xlfn.XLOOKUP(A253,'EMPLOYEE MASTER DATA'!A253:A552,'EMPLOYEE MASTER DATA'!D253:D552)</f>
        <v>Maintenance</v>
      </c>
      <c r="D253" s="4" t="str">
        <f>_xlfn.XLOOKUP(A253,'EMPLOYEE MASTER DATA'!A253:A552,'EMPLOYEE MASTER DATA'!E253:E552)</f>
        <v>Maintenance Manager</v>
      </c>
      <c r="E253" s="26">
        <f>_xlfn.XLOOKUP(A253,'EMPLOYEE MASTER DATA'!A253:A552,'EMPLOYEE MASTER DATA'!F253:F552)</f>
        <v>82000</v>
      </c>
      <c r="F253" s="26">
        <f t="shared" si="25"/>
        <v>3416.6666666666665</v>
      </c>
      <c r="G253" s="4">
        <v>19</v>
      </c>
      <c r="H253" s="4">
        <f>_xlfn.XLOOKUP(A253,'MONTHLY ATTENDANCE SUMMARY'!A252:A551,'MONTHLY ATTENDANCE SUMMARY'!F252:F551)</f>
        <v>1</v>
      </c>
      <c r="I253" s="4">
        <f t="shared" si="26"/>
        <v>1</v>
      </c>
      <c r="J253" s="4">
        <f t="shared" si="27"/>
        <v>0</v>
      </c>
      <c r="K253" s="26">
        <f t="shared" si="28"/>
        <v>68333.333333333328</v>
      </c>
      <c r="L253" s="26">
        <f t="shared" si="24"/>
        <v>9840</v>
      </c>
      <c r="M253" s="26">
        <f t="shared" si="29"/>
        <v>200</v>
      </c>
      <c r="N253" s="26">
        <f t="shared" si="30"/>
        <v>0</v>
      </c>
      <c r="O253" s="27">
        <f t="shared" si="31"/>
        <v>58293.333333333328</v>
      </c>
    </row>
    <row r="254" spans="1:15" x14ac:dyDescent="0.3">
      <c r="A254" s="10" t="str">
        <v>EMP251</v>
      </c>
      <c r="B254" s="4" t="str">
        <v>Harish Raj</v>
      </c>
      <c r="C254" s="4" t="str">
        <f>_xlfn.XLOOKUP(A254,'EMPLOYEE MASTER DATA'!A254:A553,'EMPLOYEE MASTER DATA'!D254:D553)</f>
        <v>Sales</v>
      </c>
      <c r="D254" s="4" t="str">
        <f>_xlfn.XLOOKUP(A254,'EMPLOYEE MASTER DATA'!A254:A553,'EMPLOYEE MASTER DATA'!E254:E553)</f>
        <v>Area Sales Executive</v>
      </c>
      <c r="E254" s="26">
        <f>_xlfn.XLOOKUP(A254,'EMPLOYEE MASTER DATA'!A254:A553,'EMPLOYEE MASTER DATA'!F254:F553)</f>
        <v>36000</v>
      </c>
      <c r="F254" s="26">
        <f t="shared" si="25"/>
        <v>1500</v>
      </c>
      <c r="G254" s="4">
        <v>22</v>
      </c>
      <c r="H254" s="4">
        <f>_xlfn.XLOOKUP(A254,'MONTHLY ATTENDANCE SUMMARY'!A253:A552,'MONTHLY ATTENDANCE SUMMARY'!F253:F552)</f>
        <v>2</v>
      </c>
      <c r="I254" s="4">
        <f t="shared" si="26"/>
        <v>1</v>
      </c>
      <c r="J254" s="4">
        <f t="shared" si="27"/>
        <v>1</v>
      </c>
      <c r="K254" s="26">
        <f t="shared" si="28"/>
        <v>35250</v>
      </c>
      <c r="L254" s="26">
        <f t="shared" si="24"/>
        <v>4320</v>
      </c>
      <c r="M254" s="26">
        <f t="shared" si="29"/>
        <v>200</v>
      </c>
      <c r="N254" s="26">
        <f t="shared" si="30"/>
        <v>0</v>
      </c>
      <c r="O254" s="27">
        <f t="shared" si="31"/>
        <v>30730</v>
      </c>
    </row>
    <row r="255" spans="1:15" x14ac:dyDescent="0.3">
      <c r="A255" s="10" t="str">
        <v>EMP252</v>
      </c>
      <c r="B255" s="4" t="str">
        <v>Yuvaraj Selvam</v>
      </c>
      <c r="C255" s="4" t="str">
        <f>_xlfn.XLOOKUP(A255,'EMPLOYEE MASTER DATA'!A255:A554,'EMPLOYEE MASTER DATA'!D255:D554)</f>
        <v>Maintenance</v>
      </c>
      <c r="D255" s="4" t="str">
        <f>_xlfn.XLOOKUP(A255,'EMPLOYEE MASTER DATA'!A255:A554,'EMPLOYEE MASTER DATA'!E255:E554)</f>
        <v>Maintenance Supervisor</v>
      </c>
      <c r="E255" s="26">
        <f>_xlfn.XLOOKUP(A255,'EMPLOYEE MASTER DATA'!A255:A554,'EMPLOYEE MASTER DATA'!F255:F554)</f>
        <v>47500</v>
      </c>
      <c r="F255" s="26">
        <f t="shared" si="25"/>
        <v>1979.1666666666667</v>
      </c>
      <c r="G255" s="4">
        <v>22</v>
      </c>
      <c r="H255" s="4">
        <f>_xlfn.XLOOKUP(A255,'MONTHLY ATTENDANCE SUMMARY'!A254:A553,'MONTHLY ATTENDANCE SUMMARY'!F254:F553)</f>
        <v>1</v>
      </c>
      <c r="I255" s="4">
        <f t="shared" si="26"/>
        <v>1</v>
      </c>
      <c r="J255" s="4">
        <f t="shared" si="27"/>
        <v>0</v>
      </c>
      <c r="K255" s="26">
        <f t="shared" si="28"/>
        <v>45520.833333333336</v>
      </c>
      <c r="L255" s="26">
        <f t="shared" si="24"/>
        <v>5700</v>
      </c>
      <c r="M255" s="26">
        <f t="shared" si="29"/>
        <v>200</v>
      </c>
      <c r="N255" s="26">
        <f t="shared" si="30"/>
        <v>0</v>
      </c>
      <c r="O255" s="27">
        <f t="shared" si="31"/>
        <v>39620.833333333336</v>
      </c>
    </row>
    <row r="256" spans="1:15" x14ac:dyDescent="0.3">
      <c r="A256" s="10" t="str">
        <v>EMP253</v>
      </c>
      <c r="B256" s="4" t="str">
        <v>Vinoth Raj</v>
      </c>
      <c r="C256" s="4" t="str">
        <f>_xlfn.XLOOKUP(A256,'EMPLOYEE MASTER DATA'!A256:A555,'EMPLOYEE MASTER DATA'!D256:D555)</f>
        <v>IT</v>
      </c>
      <c r="D256" s="4" t="str">
        <f>_xlfn.XLOOKUP(A256,'EMPLOYEE MASTER DATA'!A256:A555,'EMPLOYEE MASTER DATA'!E256:E555)</f>
        <v>Software Developer</v>
      </c>
      <c r="E256" s="26">
        <f>_xlfn.XLOOKUP(A256,'EMPLOYEE MASTER DATA'!A256:A555,'EMPLOYEE MASTER DATA'!F256:F555)</f>
        <v>64500</v>
      </c>
      <c r="F256" s="26">
        <f t="shared" si="25"/>
        <v>2687.5</v>
      </c>
      <c r="G256" s="4">
        <v>18</v>
      </c>
      <c r="H256" s="4">
        <f>_xlfn.XLOOKUP(A256,'MONTHLY ATTENDANCE SUMMARY'!A255:A554,'MONTHLY ATTENDANCE SUMMARY'!F255:F554)</f>
        <v>1</v>
      </c>
      <c r="I256" s="4">
        <f t="shared" si="26"/>
        <v>1</v>
      </c>
      <c r="J256" s="4">
        <f t="shared" si="27"/>
        <v>0</v>
      </c>
      <c r="K256" s="26">
        <f t="shared" si="28"/>
        <v>51062.5</v>
      </c>
      <c r="L256" s="26">
        <f t="shared" si="24"/>
        <v>7740</v>
      </c>
      <c r="M256" s="26">
        <f t="shared" si="29"/>
        <v>200</v>
      </c>
      <c r="N256" s="26">
        <f t="shared" si="30"/>
        <v>0</v>
      </c>
      <c r="O256" s="27">
        <f t="shared" si="31"/>
        <v>43122.5</v>
      </c>
    </row>
    <row r="257" spans="1:15" x14ac:dyDescent="0.3">
      <c r="A257" s="10" t="str">
        <v>EMP254</v>
      </c>
      <c r="B257" s="4" t="str">
        <v>Nithin Prasad</v>
      </c>
      <c r="C257" s="4" t="str">
        <f>_xlfn.XLOOKUP(A257,'EMPLOYEE MASTER DATA'!A257:A556,'EMPLOYEE MASTER DATA'!D257:D556)</f>
        <v>Sales</v>
      </c>
      <c r="D257" s="4" t="str">
        <f>_xlfn.XLOOKUP(A257,'EMPLOYEE MASTER DATA'!A257:A556,'EMPLOYEE MASTER DATA'!E257:E556)</f>
        <v>Key Account Executive</v>
      </c>
      <c r="E257" s="26">
        <f>_xlfn.XLOOKUP(A257,'EMPLOYEE MASTER DATA'!A257:A556,'EMPLOYEE MASTER DATA'!F257:F556)</f>
        <v>38500</v>
      </c>
      <c r="F257" s="26">
        <f t="shared" si="25"/>
        <v>1604.1666666666667</v>
      </c>
      <c r="G257" s="4">
        <v>20</v>
      </c>
      <c r="H257" s="4">
        <f>_xlfn.XLOOKUP(A257,'MONTHLY ATTENDANCE SUMMARY'!A256:A555,'MONTHLY ATTENDANCE SUMMARY'!F256:F555)</f>
        <v>2</v>
      </c>
      <c r="I257" s="4">
        <f t="shared" si="26"/>
        <v>1</v>
      </c>
      <c r="J257" s="4">
        <f t="shared" si="27"/>
        <v>1</v>
      </c>
      <c r="K257" s="26">
        <f t="shared" si="28"/>
        <v>34489.583333333336</v>
      </c>
      <c r="L257" s="26">
        <f t="shared" si="24"/>
        <v>4620</v>
      </c>
      <c r="M257" s="26">
        <f t="shared" si="29"/>
        <v>200</v>
      </c>
      <c r="N257" s="26">
        <f t="shared" si="30"/>
        <v>0</v>
      </c>
      <c r="O257" s="27">
        <f t="shared" si="31"/>
        <v>29669.583333333336</v>
      </c>
    </row>
    <row r="258" spans="1:15" x14ac:dyDescent="0.3">
      <c r="A258" s="10" t="str">
        <v>EMP255</v>
      </c>
      <c r="B258" s="4" t="str">
        <v>Manoj Kannan</v>
      </c>
      <c r="C258" s="4" t="str">
        <f>_xlfn.XLOOKUP(A258,'EMPLOYEE MASTER DATA'!A258:A557,'EMPLOYEE MASTER DATA'!D258:D557)</f>
        <v>Maintenance</v>
      </c>
      <c r="D258" s="4" t="str">
        <f>_xlfn.XLOOKUP(A258,'EMPLOYEE MASTER DATA'!A258:A557,'EMPLOYEE MASTER DATA'!E258:E557)</f>
        <v>Electrical Technician</v>
      </c>
      <c r="E258" s="26">
        <f>_xlfn.XLOOKUP(A258,'EMPLOYEE MASTER DATA'!A258:A557,'EMPLOYEE MASTER DATA'!F258:F557)</f>
        <v>27000</v>
      </c>
      <c r="F258" s="26">
        <f t="shared" si="25"/>
        <v>1125</v>
      </c>
      <c r="G258" s="4">
        <v>22</v>
      </c>
      <c r="H258" s="4">
        <f>_xlfn.XLOOKUP(A258,'MONTHLY ATTENDANCE SUMMARY'!A257:A556,'MONTHLY ATTENDANCE SUMMARY'!F257:F556)</f>
        <v>1</v>
      </c>
      <c r="I258" s="4">
        <f t="shared" si="26"/>
        <v>1</v>
      </c>
      <c r="J258" s="4">
        <f t="shared" si="27"/>
        <v>0</v>
      </c>
      <c r="K258" s="26">
        <f t="shared" si="28"/>
        <v>25875</v>
      </c>
      <c r="L258" s="26">
        <f t="shared" si="24"/>
        <v>3240</v>
      </c>
      <c r="M258" s="26">
        <f t="shared" si="29"/>
        <v>200</v>
      </c>
      <c r="N258" s="26">
        <f t="shared" si="30"/>
        <v>0</v>
      </c>
      <c r="O258" s="27">
        <f t="shared" si="31"/>
        <v>22435</v>
      </c>
    </row>
    <row r="259" spans="1:15" x14ac:dyDescent="0.3">
      <c r="A259" s="10" t="str">
        <v>EMP256</v>
      </c>
      <c r="B259" s="4" t="str">
        <v>Vijay Prasad</v>
      </c>
      <c r="C259" s="4" t="str">
        <f>_xlfn.XLOOKUP(A259,'EMPLOYEE MASTER DATA'!A259:A558,'EMPLOYEE MASTER DATA'!D259:D558)</f>
        <v>Customer Relationship</v>
      </c>
      <c r="D259" s="4" t="str">
        <f>_xlfn.XLOOKUP(A259,'EMPLOYEE MASTER DATA'!A259:A558,'EMPLOYEE MASTER DATA'!E259:E558)</f>
        <v>CRM Executive</v>
      </c>
      <c r="E259" s="26">
        <f>_xlfn.XLOOKUP(A259,'EMPLOYEE MASTER DATA'!A259:A558,'EMPLOYEE MASTER DATA'!F259:F558)</f>
        <v>24000</v>
      </c>
      <c r="F259" s="26">
        <f t="shared" si="25"/>
        <v>1000</v>
      </c>
      <c r="G259" s="4">
        <v>21</v>
      </c>
      <c r="H259" s="4">
        <f>_xlfn.XLOOKUP(A259,'MONTHLY ATTENDANCE SUMMARY'!A258:A557,'MONTHLY ATTENDANCE SUMMARY'!F258:F557)</f>
        <v>2</v>
      </c>
      <c r="I259" s="4">
        <f t="shared" si="26"/>
        <v>1</v>
      </c>
      <c r="J259" s="4">
        <f t="shared" si="27"/>
        <v>1</v>
      </c>
      <c r="K259" s="26">
        <f t="shared" si="28"/>
        <v>22500</v>
      </c>
      <c r="L259" s="26">
        <f t="shared" si="24"/>
        <v>2880</v>
      </c>
      <c r="M259" s="26">
        <f t="shared" si="29"/>
        <v>200</v>
      </c>
      <c r="N259" s="26">
        <f t="shared" si="30"/>
        <v>0</v>
      </c>
      <c r="O259" s="27">
        <f t="shared" si="31"/>
        <v>19420</v>
      </c>
    </row>
    <row r="260" spans="1:15" x14ac:dyDescent="0.3">
      <c r="A260" s="10" t="str">
        <v>EMP257</v>
      </c>
      <c r="B260" s="4" t="str">
        <v>Aravind Prasad</v>
      </c>
      <c r="C260" s="4" t="str">
        <f>_xlfn.XLOOKUP(A260,'EMPLOYEE MASTER DATA'!A260:A559,'EMPLOYEE MASTER DATA'!D260:D559)</f>
        <v>Customer Relationship</v>
      </c>
      <c r="D260" s="4" t="str">
        <f>_xlfn.XLOOKUP(A260,'EMPLOYEE MASTER DATA'!A260:A559,'EMPLOYEE MASTER DATA'!E260:E559)</f>
        <v>Customer Success Executive</v>
      </c>
      <c r="E260" s="26">
        <f>_xlfn.XLOOKUP(A260,'EMPLOYEE MASTER DATA'!A260:A559,'EMPLOYEE MASTER DATA'!F260:F559)</f>
        <v>40500</v>
      </c>
      <c r="F260" s="26">
        <f t="shared" si="25"/>
        <v>1687.5</v>
      </c>
      <c r="G260" s="4">
        <v>22</v>
      </c>
      <c r="H260" s="4">
        <f>_xlfn.XLOOKUP(A260,'MONTHLY ATTENDANCE SUMMARY'!A259:A558,'MONTHLY ATTENDANCE SUMMARY'!F259:F558)</f>
        <v>1</v>
      </c>
      <c r="I260" s="4">
        <f t="shared" si="26"/>
        <v>1</v>
      </c>
      <c r="J260" s="4">
        <f t="shared" si="27"/>
        <v>0</v>
      </c>
      <c r="K260" s="26">
        <f t="shared" si="28"/>
        <v>38812.5</v>
      </c>
      <c r="L260" s="26">
        <f t="shared" ref="L260:L303" si="32">E260*12%</f>
        <v>4860</v>
      </c>
      <c r="M260" s="26">
        <f t="shared" si="29"/>
        <v>200</v>
      </c>
      <c r="N260" s="26">
        <f t="shared" si="30"/>
        <v>0</v>
      </c>
      <c r="O260" s="27">
        <f t="shared" si="31"/>
        <v>33752.5</v>
      </c>
    </row>
    <row r="261" spans="1:15" x14ac:dyDescent="0.3">
      <c r="A261" s="10" t="str">
        <v>EMP258</v>
      </c>
      <c r="B261" s="4" t="str">
        <v>Madhan Kannan</v>
      </c>
      <c r="C261" s="4" t="str">
        <f>_xlfn.XLOOKUP(A261,'EMPLOYEE MASTER DATA'!A261:A560,'EMPLOYEE MASTER DATA'!D261:D560)</f>
        <v>Sales</v>
      </c>
      <c r="D261" s="4" t="str">
        <f>_xlfn.XLOOKUP(A261,'EMPLOYEE MASTER DATA'!A261:A560,'EMPLOYEE MASTER DATA'!E261:E560)</f>
        <v>Sales Executive</v>
      </c>
      <c r="E261" s="26">
        <f>_xlfn.XLOOKUP(A261,'EMPLOYEE MASTER DATA'!A261:A560,'EMPLOYEE MASTER DATA'!F261:F560)</f>
        <v>30000</v>
      </c>
      <c r="F261" s="26">
        <f t="shared" ref="F261:F303" si="33">E261/24</f>
        <v>1250</v>
      </c>
      <c r="G261" s="4">
        <v>19</v>
      </c>
      <c r="H261" s="4">
        <f>_xlfn.XLOOKUP(A261,'MONTHLY ATTENDANCE SUMMARY'!A260:A559,'MONTHLY ATTENDANCE SUMMARY'!F260:F559)</f>
        <v>1</v>
      </c>
      <c r="I261" s="4">
        <f t="shared" ref="I261:I303" si="34">MIN(H261,1)</f>
        <v>1</v>
      </c>
      <c r="J261" s="4">
        <f t="shared" ref="J261:J303" si="35">MAX(H261-1,0)</f>
        <v>0</v>
      </c>
      <c r="K261" s="26">
        <f t="shared" ref="K261:K303" si="36">F261*(G261+I261+(J261*0.5))</f>
        <v>25000</v>
      </c>
      <c r="L261" s="26">
        <f t="shared" si="32"/>
        <v>3600</v>
      </c>
      <c r="M261" s="26">
        <f t="shared" ref="M261:M303" si="37">IF(K261&gt;=21000,200,0)</f>
        <v>200</v>
      </c>
      <c r="N261" s="26">
        <f t="shared" ref="N261:N303" si="38">IF(K261&lt;=21000,K261*0.75%,0)</f>
        <v>0</v>
      </c>
      <c r="O261" s="27">
        <f t="shared" ref="O261:O303" si="39">K261-SUM(L261:N261)</f>
        <v>21200</v>
      </c>
    </row>
    <row r="262" spans="1:15" x14ac:dyDescent="0.3">
      <c r="A262" s="10" t="str">
        <v>EMP259</v>
      </c>
      <c r="B262" s="4" t="str">
        <v>Yuvaraj R</v>
      </c>
      <c r="C262" s="4" t="str">
        <f>_xlfn.XLOOKUP(A262,'EMPLOYEE MASTER DATA'!A262:A561,'EMPLOYEE MASTER DATA'!D262:D561)</f>
        <v>Admin</v>
      </c>
      <c r="D262" s="4" t="str">
        <f>_xlfn.XLOOKUP(A262,'EMPLOYEE MASTER DATA'!A262:A561,'EMPLOYEE MASTER DATA'!E262:E561)</f>
        <v>Office Coordinator</v>
      </c>
      <c r="E262" s="26">
        <f>_xlfn.XLOOKUP(A262,'EMPLOYEE MASTER DATA'!A262:A561,'EMPLOYEE MASTER DATA'!F262:F561)</f>
        <v>31500</v>
      </c>
      <c r="F262" s="26">
        <f t="shared" si="33"/>
        <v>1312.5</v>
      </c>
      <c r="G262" s="4">
        <v>19</v>
      </c>
      <c r="H262" s="4">
        <f>_xlfn.XLOOKUP(A262,'MONTHLY ATTENDANCE SUMMARY'!A261:A560,'MONTHLY ATTENDANCE SUMMARY'!F261:F560)</f>
        <v>2</v>
      </c>
      <c r="I262" s="4">
        <f t="shared" si="34"/>
        <v>1</v>
      </c>
      <c r="J262" s="4">
        <f t="shared" si="35"/>
        <v>1</v>
      </c>
      <c r="K262" s="26">
        <f t="shared" si="36"/>
        <v>26906.25</v>
      </c>
      <c r="L262" s="26">
        <f t="shared" si="32"/>
        <v>3780</v>
      </c>
      <c r="M262" s="26">
        <f t="shared" si="37"/>
        <v>200</v>
      </c>
      <c r="N262" s="26">
        <f t="shared" si="38"/>
        <v>0</v>
      </c>
      <c r="O262" s="27">
        <f t="shared" si="39"/>
        <v>22926.25</v>
      </c>
    </row>
    <row r="263" spans="1:15" x14ac:dyDescent="0.3">
      <c r="A263" s="10" t="str">
        <v>EMP260</v>
      </c>
      <c r="B263" s="4" t="str">
        <v>Lokesh Babu</v>
      </c>
      <c r="C263" s="4" t="str">
        <f>_xlfn.XLOOKUP(A263,'EMPLOYEE MASTER DATA'!A263:A562,'EMPLOYEE MASTER DATA'!D263:D562)</f>
        <v>Sales</v>
      </c>
      <c r="D263" s="4" t="str">
        <f>_xlfn.XLOOKUP(A263,'EMPLOYEE MASTER DATA'!A263:A562,'EMPLOYEE MASTER DATA'!E263:E562)</f>
        <v>Key Account Executive</v>
      </c>
      <c r="E263" s="26">
        <f>_xlfn.XLOOKUP(A263,'EMPLOYEE MASTER DATA'!A263:A562,'EMPLOYEE MASTER DATA'!F263:F562)</f>
        <v>41500</v>
      </c>
      <c r="F263" s="26">
        <f t="shared" si="33"/>
        <v>1729.1666666666667</v>
      </c>
      <c r="G263" s="4">
        <v>22</v>
      </c>
      <c r="H263" s="4">
        <f>_xlfn.XLOOKUP(A263,'MONTHLY ATTENDANCE SUMMARY'!A262:A561,'MONTHLY ATTENDANCE SUMMARY'!F262:F561)</f>
        <v>2</v>
      </c>
      <c r="I263" s="4">
        <f t="shared" si="34"/>
        <v>1</v>
      </c>
      <c r="J263" s="4">
        <f t="shared" si="35"/>
        <v>1</v>
      </c>
      <c r="K263" s="26">
        <f t="shared" si="36"/>
        <v>40635.416666666672</v>
      </c>
      <c r="L263" s="26">
        <f t="shared" si="32"/>
        <v>4980</v>
      </c>
      <c r="M263" s="26">
        <f t="shared" si="37"/>
        <v>200</v>
      </c>
      <c r="N263" s="26">
        <f t="shared" si="38"/>
        <v>0</v>
      </c>
      <c r="O263" s="27">
        <f t="shared" si="39"/>
        <v>35455.416666666672</v>
      </c>
    </row>
    <row r="264" spans="1:15" x14ac:dyDescent="0.3">
      <c r="A264" s="10" t="str">
        <v>EMP261</v>
      </c>
      <c r="B264" s="4" t="str">
        <v>Mohan Raja</v>
      </c>
      <c r="C264" s="4" t="str">
        <f>_xlfn.XLOOKUP(A264,'EMPLOYEE MASTER DATA'!A264:A563,'EMPLOYEE MASTER DATA'!D264:D563)</f>
        <v>Business Development</v>
      </c>
      <c r="D264" s="4" t="str">
        <f>_xlfn.XLOOKUP(A264,'EMPLOYEE MASTER DATA'!A264:A563,'EMPLOYEE MASTER DATA'!E264:E563)</f>
        <v>Senior Business Development Executive</v>
      </c>
      <c r="E264" s="26">
        <f>_xlfn.XLOOKUP(A264,'EMPLOYEE MASTER DATA'!A264:A563,'EMPLOYEE MASTER DATA'!F264:F563)</f>
        <v>44000</v>
      </c>
      <c r="F264" s="26">
        <f t="shared" si="33"/>
        <v>1833.3333333333333</v>
      </c>
      <c r="G264" s="4">
        <v>18</v>
      </c>
      <c r="H264" s="4">
        <f>_xlfn.XLOOKUP(A264,'MONTHLY ATTENDANCE SUMMARY'!A263:A562,'MONTHLY ATTENDANCE SUMMARY'!F263:F562)</f>
        <v>2</v>
      </c>
      <c r="I264" s="4">
        <f t="shared" si="34"/>
        <v>1</v>
      </c>
      <c r="J264" s="4">
        <f t="shared" si="35"/>
        <v>1</v>
      </c>
      <c r="K264" s="26">
        <f t="shared" si="36"/>
        <v>35750</v>
      </c>
      <c r="L264" s="26">
        <f t="shared" si="32"/>
        <v>5280</v>
      </c>
      <c r="M264" s="26">
        <f t="shared" si="37"/>
        <v>200</v>
      </c>
      <c r="N264" s="26">
        <f t="shared" si="38"/>
        <v>0</v>
      </c>
      <c r="O264" s="27">
        <f t="shared" si="39"/>
        <v>30270</v>
      </c>
    </row>
    <row r="265" spans="1:15" x14ac:dyDescent="0.3">
      <c r="A265" s="10" t="str">
        <v>EMP262</v>
      </c>
      <c r="B265" s="4" t="str">
        <v>Ganesh G</v>
      </c>
      <c r="C265" s="4" t="str">
        <f>_xlfn.XLOOKUP(A265,'EMPLOYEE MASTER DATA'!A265:A564,'EMPLOYEE MASTER DATA'!D265:D564)</f>
        <v>HR</v>
      </c>
      <c r="D265" s="4" t="str">
        <f>_xlfn.XLOOKUP(A265,'EMPLOYEE MASTER DATA'!A265:A564,'EMPLOYEE MASTER DATA'!E265:E564)</f>
        <v>Recruiter</v>
      </c>
      <c r="E265" s="26">
        <f>_xlfn.XLOOKUP(A265,'EMPLOYEE MASTER DATA'!A265:A564,'EMPLOYEE MASTER DATA'!F265:F564)</f>
        <v>26500</v>
      </c>
      <c r="F265" s="26">
        <f t="shared" si="33"/>
        <v>1104.1666666666667</v>
      </c>
      <c r="G265" s="4">
        <v>20</v>
      </c>
      <c r="H265" s="4">
        <f>_xlfn.XLOOKUP(A265,'MONTHLY ATTENDANCE SUMMARY'!A264:A563,'MONTHLY ATTENDANCE SUMMARY'!F264:F563)</f>
        <v>2</v>
      </c>
      <c r="I265" s="4">
        <f t="shared" si="34"/>
        <v>1</v>
      </c>
      <c r="J265" s="4">
        <f t="shared" si="35"/>
        <v>1</v>
      </c>
      <c r="K265" s="26">
        <f t="shared" si="36"/>
        <v>23739.583333333336</v>
      </c>
      <c r="L265" s="26">
        <f t="shared" si="32"/>
        <v>3180</v>
      </c>
      <c r="M265" s="26">
        <f t="shared" si="37"/>
        <v>200</v>
      </c>
      <c r="N265" s="26">
        <f t="shared" si="38"/>
        <v>0</v>
      </c>
      <c r="O265" s="27">
        <f t="shared" si="39"/>
        <v>20359.583333333336</v>
      </c>
    </row>
    <row r="266" spans="1:15" x14ac:dyDescent="0.3">
      <c r="A266" s="10" t="str">
        <v>EMP263</v>
      </c>
      <c r="B266" s="4" t="str">
        <v>Bharath Prasad</v>
      </c>
      <c r="C266" s="4" t="str">
        <f>_xlfn.XLOOKUP(A266,'EMPLOYEE MASTER DATA'!A266:A565,'EMPLOYEE MASTER DATA'!D266:D565)</f>
        <v>Accounts</v>
      </c>
      <c r="D266" s="4" t="str">
        <f>_xlfn.XLOOKUP(A266,'EMPLOYEE MASTER DATA'!A266:A565,'EMPLOYEE MASTER DATA'!E266:E565)</f>
        <v>Accounts Executive</v>
      </c>
      <c r="E266" s="26">
        <f>_xlfn.XLOOKUP(A266,'EMPLOYEE MASTER DATA'!A266:A565,'EMPLOYEE MASTER DATA'!F266:F565)</f>
        <v>23500</v>
      </c>
      <c r="F266" s="26">
        <f t="shared" si="33"/>
        <v>979.16666666666663</v>
      </c>
      <c r="G266" s="4">
        <v>19</v>
      </c>
      <c r="H266" s="4">
        <f>_xlfn.XLOOKUP(A266,'MONTHLY ATTENDANCE SUMMARY'!A265:A564,'MONTHLY ATTENDANCE SUMMARY'!F265:F564)</f>
        <v>1</v>
      </c>
      <c r="I266" s="4">
        <f t="shared" si="34"/>
        <v>1</v>
      </c>
      <c r="J266" s="4">
        <f t="shared" si="35"/>
        <v>0</v>
      </c>
      <c r="K266" s="26">
        <f t="shared" si="36"/>
        <v>19583.333333333332</v>
      </c>
      <c r="L266" s="26">
        <f t="shared" si="32"/>
        <v>2820</v>
      </c>
      <c r="M266" s="26">
        <f t="shared" si="37"/>
        <v>0</v>
      </c>
      <c r="N266" s="26">
        <f t="shared" si="38"/>
        <v>146.87499999999997</v>
      </c>
      <c r="O266" s="27">
        <f t="shared" si="39"/>
        <v>16616.458333333332</v>
      </c>
    </row>
    <row r="267" spans="1:15" x14ac:dyDescent="0.3">
      <c r="A267" s="10" t="str">
        <v>EMP264</v>
      </c>
      <c r="B267" s="4" t="str">
        <v>Deepak T</v>
      </c>
      <c r="C267" s="4" t="str">
        <f>_xlfn.XLOOKUP(A267,'EMPLOYEE MASTER DATA'!A267:A566,'EMPLOYEE MASTER DATA'!D267:D566)</f>
        <v>Admin</v>
      </c>
      <c r="D267" s="4" t="str">
        <f>_xlfn.XLOOKUP(A267,'EMPLOYEE MASTER DATA'!A267:A566,'EMPLOYEE MASTER DATA'!E267:E566)</f>
        <v>Facility Executive</v>
      </c>
      <c r="E267" s="26">
        <f>_xlfn.XLOOKUP(A267,'EMPLOYEE MASTER DATA'!A267:A566,'EMPLOYEE MASTER DATA'!F267:F566)</f>
        <v>28000</v>
      </c>
      <c r="F267" s="26">
        <f t="shared" si="33"/>
        <v>1166.6666666666667</v>
      </c>
      <c r="G267" s="4">
        <v>22</v>
      </c>
      <c r="H267" s="4">
        <f>_xlfn.XLOOKUP(A267,'MONTHLY ATTENDANCE SUMMARY'!A266:A565,'MONTHLY ATTENDANCE SUMMARY'!F266:F565)</f>
        <v>2</v>
      </c>
      <c r="I267" s="4">
        <f t="shared" si="34"/>
        <v>1</v>
      </c>
      <c r="J267" s="4">
        <f t="shared" si="35"/>
        <v>1</v>
      </c>
      <c r="K267" s="26">
        <f t="shared" si="36"/>
        <v>27416.666666666668</v>
      </c>
      <c r="L267" s="26">
        <f t="shared" si="32"/>
        <v>3360</v>
      </c>
      <c r="M267" s="26">
        <f t="shared" si="37"/>
        <v>200</v>
      </c>
      <c r="N267" s="26">
        <f t="shared" si="38"/>
        <v>0</v>
      </c>
      <c r="O267" s="27">
        <f t="shared" si="39"/>
        <v>23856.666666666668</v>
      </c>
    </row>
    <row r="268" spans="1:15" x14ac:dyDescent="0.3">
      <c r="A268" s="10" t="str">
        <v>EMP265</v>
      </c>
      <c r="B268" s="4" t="str">
        <v>Dinesh Babu</v>
      </c>
      <c r="C268" s="4" t="str">
        <f>_xlfn.XLOOKUP(A268,'EMPLOYEE MASTER DATA'!A268:A567,'EMPLOYEE MASTER DATA'!D268:D567)</f>
        <v>Sales</v>
      </c>
      <c r="D268" s="4" t="str">
        <f>_xlfn.XLOOKUP(A268,'EMPLOYEE MASTER DATA'!A268:A567,'EMPLOYEE MASTER DATA'!E268:E567)</f>
        <v>Key Account Executive</v>
      </c>
      <c r="E268" s="26">
        <f>_xlfn.XLOOKUP(A268,'EMPLOYEE MASTER DATA'!A268:A567,'EMPLOYEE MASTER DATA'!F268:F567)</f>
        <v>36000</v>
      </c>
      <c r="F268" s="26">
        <f t="shared" si="33"/>
        <v>1500</v>
      </c>
      <c r="G268" s="4">
        <v>21</v>
      </c>
      <c r="H268" s="4">
        <f>_xlfn.XLOOKUP(A268,'MONTHLY ATTENDANCE SUMMARY'!A267:A566,'MONTHLY ATTENDANCE SUMMARY'!F267:F566)</f>
        <v>1</v>
      </c>
      <c r="I268" s="4">
        <f t="shared" si="34"/>
        <v>1</v>
      </c>
      <c r="J268" s="4">
        <f t="shared" si="35"/>
        <v>0</v>
      </c>
      <c r="K268" s="26">
        <f t="shared" si="36"/>
        <v>33000</v>
      </c>
      <c r="L268" s="26">
        <f t="shared" si="32"/>
        <v>4320</v>
      </c>
      <c r="M268" s="26">
        <f t="shared" si="37"/>
        <v>200</v>
      </c>
      <c r="N268" s="26">
        <f t="shared" si="38"/>
        <v>0</v>
      </c>
      <c r="O268" s="27">
        <f t="shared" si="39"/>
        <v>28480</v>
      </c>
    </row>
    <row r="269" spans="1:15" x14ac:dyDescent="0.3">
      <c r="A269" s="10" t="str">
        <v>EMP266</v>
      </c>
      <c r="B269" s="4" t="str">
        <v>Yogesh Murugan</v>
      </c>
      <c r="C269" s="4" t="str">
        <f>_xlfn.XLOOKUP(A269,'EMPLOYEE MASTER DATA'!A269:A568,'EMPLOYEE MASTER DATA'!D269:D568)</f>
        <v>Customer Relationship</v>
      </c>
      <c r="D269" s="4" t="str">
        <f>_xlfn.XLOOKUP(A269,'EMPLOYEE MASTER DATA'!A269:A568,'EMPLOYEE MASTER DATA'!E269:E568)</f>
        <v>CRM Executive</v>
      </c>
      <c r="E269" s="26">
        <f>_xlfn.XLOOKUP(A269,'EMPLOYEE MASTER DATA'!A269:A568,'EMPLOYEE MASTER DATA'!F269:F568)</f>
        <v>27500</v>
      </c>
      <c r="F269" s="26">
        <f t="shared" si="33"/>
        <v>1145.8333333333333</v>
      </c>
      <c r="G269" s="4">
        <v>18</v>
      </c>
      <c r="H269" s="4">
        <f>_xlfn.XLOOKUP(A269,'MONTHLY ATTENDANCE SUMMARY'!A268:A567,'MONTHLY ATTENDANCE SUMMARY'!F268:F567)</f>
        <v>2</v>
      </c>
      <c r="I269" s="4">
        <f t="shared" si="34"/>
        <v>1</v>
      </c>
      <c r="J269" s="4">
        <f t="shared" si="35"/>
        <v>1</v>
      </c>
      <c r="K269" s="26">
        <f t="shared" si="36"/>
        <v>22343.75</v>
      </c>
      <c r="L269" s="26">
        <f t="shared" si="32"/>
        <v>3300</v>
      </c>
      <c r="M269" s="26">
        <f t="shared" si="37"/>
        <v>200</v>
      </c>
      <c r="N269" s="26">
        <f t="shared" si="38"/>
        <v>0</v>
      </c>
      <c r="O269" s="27">
        <f t="shared" si="39"/>
        <v>18843.75</v>
      </c>
    </row>
    <row r="270" spans="1:15" x14ac:dyDescent="0.3">
      <c r="A270" s="10" t="str">
        <v>EMP267</v>
      </c>
      <c r="B270" s="4" t="str">
        <v>Ajay T</v>
      </c>
      <c r="C270" s="4" t="str">
        <f>_xlfn.XLOOKUP(A270,'EMPLOYEE MASTER DATA'!A270:A569,'EMPLOYEE MASTER DATA'!D270:D569)</f>
        <v>Sales</v>
      </c>
      <c r="D270" s="4" t="str">
        <f>_xlfn.XLOOKUP(A270,'EMPLOYEE MASTER DATA'!A270:A569,'EMPLOYEE MASTER DATA'!E270:E569)</f>
        <v>Sales Manager</v>
      </c>
      <c r="E270" s="26">
        <f>_xlfn.XLOOKUP(A270,'EMPLOYEE MASTER DATA'!A270:A569,'EMPLOYEE MASTER DATA'!F270:F569)</f>
        <v>61500</v>
      </c>
      <c r="F270" s="26">
        <f t="shared" si="33"/>
        <v>2562.5</v>
      </c>
      <c r="G270" s="4">
        <v>21</v>
      </c>
      <c r="H270" s="4">
        <f>_xlfn.XLOOKUP(A270,'MONTHLY ATTENDANCE SUMMARY'!A269:A568,'MONTHLY ATTENDANCE SUMMARY'!F269:F568)</f>
        <v>1</v>
      </c>
      <c r="I270" s="4">
        <f t="shared" si="34"/>
        <v>1</v>
      </c>
      <c r="J270" s="4">
        <f t="shared" si="35"/>
        <v>0</v>
      </c>
      <c r="K270" s="26">
        <f t="shared" si="36"/>
        <v>56375</v>
      </c>
      <c r="L270" s="26">
        <f t="shared" si="32"/>
        <v>7380</v>
      </c>
      <c r="M270" s="26">
        <f t="shared" si="37"/>
        <v>200</v>
      </c>
      <c r="N270" s="26">
        <f t="shared" si="38"/>
        <v>0</v>
      </c>
      <c r="O270" s="27">
        <f t="shared" si="39"/>
        <v>48795</v>
      </c>
    </row>
    <row r="271" spans="1:15" x14ac:dyDescent="0.3">
      <c r="A271" s="10" t="str">
        <v>EMP268</v>
      </c>
      <c r="B271" s="4" t="str">
        <v>Karthik Kannan</v>
      </c>
      <c r="C271" s="4" t="str">
        <f>_xlfn.XLOOKUP(A271,'EMPLOYEE MASTER DATA'!A271:A570,'EMPLOYEE MASTER DATA'!D271:D570)</f>
        <v>Maintenance</v>
      </c>
      <c r="D271" s="4" t="str">
        <f>_xlfn.XLOOKUP(A271,'EMPLOYEE MASTER DATA'!A271:A570,'EMPLOYEE MASTER DATA'!E271:E570)</f>
        <v>Electrical Technician</v>
      </c>
      <c r="E271" s="26">
        <f>_xlfn.XLOOKUP(A271,'EMPLOYEE MASTER DATA'!A271:A570,'EMPLOYEE MASTER DATA'!F271:F570)</f>
        <v>29500</v>
      </c>
      <c r="F271" s="26">
        <f t="shared" si="33"/>
        <v>1229.1666666666667</v>
      </c>
      <c r="G271" s="4">
        <v>18</v>
      </c>
      <c r="H271" s="4">
        <f>_xlfn.XLOOKUP(A271,'MONTHLY ATTENDANCE SUMMARY'!A270:A569,'MONTHLY ATTENDANCE SUMMARY'!F270:F569)</f>
        <v>1</v>
      </c>
      <c r="I271" s="4">
        <f t="shared" si="34"/>
        <v>1</v>
      </c>
      <c r="J271" s="4">
        <f t="shared" si="35"/>
        <v>0</v>
      </c>
      <c r="K271" s="26">
        <f t="shared" si="36"/>
        <v>23354.166666666668</v>
      </c>
      <c r="L271" s="26">
        <f t="shared" si="32"/>
        <v>3540</v>
      </c>
      <c r="M271" s="26">
        <f t="shared" si="37"/>
        <v>200</v>
      </c>
      <c r="N271" s="26">
        <f t="shared" si="38"/>
        <v>0</v>
      </c>
      <c r="O271" s="27">
        <f t="shared" si="39"/>
        <v>19614.166666666668</v>
      </c>
    </row>
    <row r="272" spans="1:15" x14ac:dyDescent="0.3">
      <c r="A272" s="10" t="str">
        <v>EMP269</v>
      </c>
      <c r="B272" s="4" t="str">
        <v>Sanjay Narayanan</v>
      </c>
      <c r="C272" s="4" t="str">
        <f>_xlfn.XLOOKUP(A272,'EMPLOYEE MASTER DATA'!A272:A571,'EMPLOYEE MASTER DATA'!D272:D571)</f>
        <v>Production</v>
      </c>
      <c r="D272" s="4" t="str">
        <f>_xlfn.XLOOKUP(A272,'EMPLOYEE MASTER DATA'!A272:A571,'EMPLOYEE MASTER DATA'!E272:E571)</f>
        <v>Production Supervisor</v>
      </c>
      <c r="E272" s="26">
        <f>_xlfn.XLOOKUP(A272,'EMPLOYEE MASTER DATA'!A272:A571,'EMPLOYEE MASTER DATA'!F272:F571)</f>
        <v>39000</v>
      </c>
      <c r="F272" s="26">
        <f t="shared" si="33"/>
        <v>1625</v>
      </c>
      <c r="G272" s="4">
        <v>21</v>
      </c>
      <c r="H272" s="4">
        <f>_xlfn.XLOOKUP(A272,'MONTHLY ATTENDANCE SUMMARY'!A271:A570,'MONTHLY ATTENDANCE SUMMARY'!F271:F570)</f>
        <v>1</v>
      </c>
      <c r="I272" s="4">
        <f t="shared" si="34"/>
        <v>1</v>
      </c>
      <c r="J272" s="4">
        <f t="shared" si="35"/>
        <v>0</v>
      </c>
      <c r="K272" s="26">
        <f t="shared" si="36"/>
        <v>35750</v>
      </c>
      <c r="L272" s="26">
        <f t="shared" si="32"/>
        <v>4680</v>
      </c>
      <c r="M272" s="26">
        <f t="shared" si="37"/>
        <v>200</v>
      </c>
      <c r="N272" s="26">
        <f t="shared" si="38"/>
        <v>0</v>
      </c>
      <c r="O272" s="27">
        <f t="shared" si="39"/>
        <v>30870</v>
      </c>
    </row>
    <row r="273" spans="1:15" x14ac:dyDescent="0.3">
      <c r="A273" s="10" t="str">
        <v>EMP270</v>
      </c>
      <c r="B273" s="4" t="str">
        <v>Manoj V</v>
      </c>
      <c r="C273" s="4" t="str">
        <f>_xlfn.XLOOKUP(A273,'EMPLOYEE MASTER DATA'!A273:A572,'EMPLOYEE MASTER DATA'!D273:D572)</f>
        <v>IT</v>
      </c>
      <c r="D273" s="4" t="str">
        <f>_xlfn.XLOOKUP(A273,'EMPLOYEE MASTER DATA'!A273:A572,'EMPLOYEE MASTER DATA'!E273:E572)</f>
        <v>IT Manager</v>
      </c>
      <c r="E273" s="26">
        <f>_xlfn.XLOOKUP(A273,'EMPLOYEE MASTER DATA'!A273:A572,'EMPLOYEE MASTER DATA'!F273:F572)</f>
        <v>72500</v>
      </c>
      <c r="F273" s="26">
        <f t="shared" si="33"/>
        <v>3020.8333333333335</v>
      </c>
      <c r="G273" s="4">
        <v>19</v>
      </c>
      <c r="H273" s="4">
        <f>_xlfn.XLOOKUP(A273,'MONTHLY ATTENDANCE SUMMARY'!A272:A571,'MONTHLY ATTENDANCE SUMMARY'!F272:F571)</f>
        <v>2</v>
      </c>
      <c r="I273" s="4">
        <f t="shared" si="34"/>
        <v>1</v>
      </c>
      <c r="J273" s="4">
        <f t="shared" si="35"/>
        <v>1</v>
      </c>
      <c r="K273" s="26">
        <f t="shared" si="36"/>
        <v>61927.083333333336</v>
      </c>
      <c r="L273" s="26">
        <f t="shared" si="32"/>
        <v>8700</v>
      </c>
      <c r="M273" s="26">
        <f t="shared" si="37"/>
        <v>200</v>
      </c>
      <c r="N273" s="26">
        <f t="shared" si="38"/>
        <v>0</v>
      </c>
      <c r="O273" s="27">
        <f t="shared" si="39"/>
        <v>53027.083333333336</v>
      </c>
    </row>
    <row r="274" spans="1:15" x14ac:dyDescent="0.3">
      <c r="A274" s="10" t="str">
        <v>EMP271</v>
      </c>
      <c r="B274" s="4" t="str">
        <v>Ganesh Raja</v>
      </c>
      <c r="C274" s="4" t="str">
        <f>_xlfn.XLOOKUP(A274,'EMPLOYEE MASTER DATA'!A274:A573,'EMPLOYEE MASTER DATA'!D274:D573)</f>
        <v>Business Development</v>
      </c>
      <c r="D274" s="4" t="str">
        <f>_xlfn.XLOOKUP(A274,'EMPLOYEE MASTER DATA'!A274:A573,'EMPLOYEE MASTER DATA'!E274:E573)</f>
        <v>Corporate Sales Executive</v>
      </c>
      <c r="E274" s="26">
        <f>_xlfn.XLOOKUP(A274,'EMPLOYEE MASTER DATA'!A274:A573,'EMPLOYEE MASTER DATA'!F274:F573)</f>
        <v>47500</v>
      </c>
      <c r="F274" s="26">
        <f t="shared" si="33"/>
        <v>1979.1666666666667</v>
      </c>
      <c r="G274" s="4">
        <v>22</v>
      </c>
      <c r="H274" s="4">
        <f>_xlfn.XLOOKUP(A274,'MONTHLY ATTENDANCE SUMMARY'!A273:A572,'MONTHLY ATTENDANCE SUMMARY'!F273:F572)</f>
        <v>1</v>
      </c>
      <c r="I274" s="4">
        <f t="shared" si="34"/>
        <v>1</v>
      </c>
      <c r="J274" s="4">
        <f t="shared" si="35"/>
        <v>0</v>
      </c>
      <c r="K274" s="26">
        <f t="shared" si="36"/>
        <v>45520.833333333336</v>
      </c>
      <c r="L274" s="26">
        <f t="shared" si="32"/>
        <v>5700</v>
      </c>
      <c r="M274" s="26">
        <f t="shared" si="37"/>
        <v>200</v>
      </c>
      <c r="N274" s="26">
        <f t="shared" si="38"/>
        <v>0</v>
      </c>
      <c r="O274" s="27">
        <f t="shared" si="39"/>
        <v>39620.833333333336</v>
      </c>
    </row>
    <row r="275" spans="1:15" x14ac:dyDescent="0.3">
      <c r="A275" s="10" t="str">
        <v>EMP272</v>
      </c>
      <c r="B275" s="4" t="str">
        <v>Bharath P</v>
      </c>
      <c r="C275" s="4" t="str">
        <f>_xlfn.XLOOKUP(A275,'EMPLOYEE MASTER DATA'!A275:A574,'EMPLOYEE MASTER DATA'!D275:D574)</f>
        <v>Accounts</v>
      </c>
      <c r="D275" s="4" t="str">
        <f>_xlfn.XLOOKUP(A275,'EMPLOYEE MASTER DATA'!A275:A574,'EMPLOYEE MASTER DATA'!E275:E574)</f>
        <v>Accountant</v>
      </c>
      <c r="E275" s="26">
        <f>_xlfn.XLOOKUP(A275,'EMPLOYEE MASTER DATA'!A275:A574,'EMPLOYEE MASTER DATA'!F275:F574)</f>
        <v>31500</v>
      </c>
      <c r="F275" s="26">
        <f t="shared" si="33"/>
        <v>1312.5</v>
      </c>
      <c r="G275" s="4">
        <v>22</v>
      </c>
      <c r="H275" s="4">
        <f>_xlfn.XLOOKUP(A275,'MONTHLY ATTENDANCE SUMMARY'!A274:A573,'MONTHLY ATTENDANCE SUMMARY'!F274:F573)</f>
        <v>1</v>
      </c>
      <c r="I275" s="4">
        <f t="shared" si="34"/>
        <v>1</v>
      </c>
      <c r="J275" s="4">
        <f t="shared" si="35"/>
        <v>0</v>
      </c>
      <c r="K275" s="26">
        <f t="shared" si="36"/>
        <v>30187.5</v>
      </c>
      <c r="L275" s="26">
        <f t="shared" si="32"/>
        <v>3780</v>
      </c>
      <c r="M275" s="26">
        <f t="shared" si="37"/>
        <v>200</v>
      </c>
      <c r="N275" s="26">
        <f t="shared" si="38"/>
        <v>0</v>
      </c>
      <c r="O275" s="27">
        <f t="shared" si="39"/>
        <v>26207.5</v>
      </c>
    </row>
    <row r="276" spans="1:15" x14ac:dyDescent="0.3">
      <c r="A276" s="10" t="str">
        <v>EMP273</v>
      </c>
      <c r="B276" s="4" t="str">
        <v>Nithin Babu</v>
      </c>
      <c r="C276" s="4" t="str">
        <f>_xlfn.XLOOKUP(A276,'EMPLOYEE MASTER DATA'!A276:A575,'EMPLOYEE MASTER DATA'!D276:D575)</f>
        <v>Maintenance</v>
      </c>
      <c r="D276" s="4" t="str">
        <f>_xlfn.XLOOKUP(A276,'EMPLOYEE MASTER DATA'!A276:A575,'EMPLOYEE MASTER DATA'!E276:E575)</f>
        <v>Maintenance Supervisor</v>
      </c>
      <c r="E276" s="26">
        <f>_xlfn.XLOOKUP(A276,'EMPLOYEE MASTER DATA'!A276:A575,'EMPLOYEE MASTER DATA'!F276:F575)</f>
        <v>44500</v>
      </c>
      <c r="F276" s="26">
        <f t="shared" si="33"/>
        <v>1854.1666666666667</v>
      </c>
      <c r="G276" s="4">
        <v>20</v>
      </c>
      <c r="H276" s="4">
        <f>_xlfn.XLOOKUP(A276,'MONTHLY ATTENDANCE SUMMARY'!A275:A574,'MONTHLY ATTENDANCE SUMMARY'!F275:F574)</f>
        <v>1</v>
      </c>
      <c r="I276" s="4">
        <f t="shared" si="34"/>
        <v>1</v>
      </c>
      <c r="J276" s="4">
        <f t="shared" si="35"/>
        <v>0</v>
      </c>
      <c r="K276" s="26">
        <f t="shared" si="36"/>
        <v>38937.5</v>
      </c>
      <c r="L276" s="26">
        <f t="shared" si="32"/>
        <v>5340</v>
      </c>
      <c r="M276" s="26">
        <f t="shared" si="37"/>
        <v>200</v>
      </c>
      <c r="N276" s="26">
        <f t="shared" si="38"/>
        <v>0</v>
      </c>
      <c r="O276" s="27">
        <f t="shared" si="39"/>
        <v>33397.5</v>
      </c>
    </row>
    <row r="277" spans="1:15" x14ac:dyDescent="0.3">
      <c r="A277" s="10" t="str">
        <v>EMP274</v>
      </c>
      <c r="B277" s="4" t="str">
        <v>Saravanan Babu</v>
      </c>
      <c r="C277" s="4" t="str">
        <f>_xlfn.XLOOKUP(A277,'EMPLOYEE MASTER DATA'!A277:A576,'EMPLOYEE MASTER DATA'!D277:D576)</f>
        <v>Business Development</v>
      </c>
      <c r="D277" s="4" t="str">
        <f>_xlfn.XLOOKUP(A277,'EMPLOYEE MASTER DATA'!A277:A576,'EMPLOYEE MASTER DATA'!E277:E576)</f>
        <v>Business Development Executive</v>
      </c>
      <c r="E277" s="26">
        <f>_xlfn.XLOOKUP(A277,'EMPLOYEE MASTER DATA'!A277:A576,'EMPLOYEE MASTER DATA'!F277:F576)</f>
        <v>26000</v>
      </c>
      <c r="F277" s="26">
        <f t="shared" si="33"/>
        <v>1083.3333333333333</v>
      </c>
      <c r="G277" s="4">
        <v>20</v>
      </c>
      <c r="H277" s="4">
        <f>_xlfn.XLOOKUP(A277,'MONTHLY ATTENDANCE SUMMARY'!A276:A575,'MONTHLY ATTENDANCE SUMMARY'!F276:F575)</f>
        <v>2</v>
      </c>
      <c r="I277" s="4">
        <f t="shared" si="34"/>
        <v>1</v>
      </c>
      <c r="J277" s="4">
        <f t="shared" si="35"/>
        <v>1</v>
      </c>
      <c r="K277" s="26">
        <f t="shared" si="36"/>
        <v>23291.666666666664</v>
      </c>
      <c r="L277" s="26">
        <f t="shared" si="32"/>
        <v>3120</v>
      </c>
      <c r="M277" s="26">
        <f t="shared" si="37"/>
        <v>200</v>
      </c>
      <c r="N277" s="26">
        <f t="shared" si="38"/>
        <v>0</v>
      </c>
      <c r="O277" s="27">
        <f t="shared" si="39"/>
        <v>19971.666666666664</v>
      </c>
    </row>
    <row r="278" spans="1:15" x14ac:dyDescent="0.3">
      <c r="A278" s="10" t="str">
        <v>EMP275</v>
      </c>
      <c r="B278" s="4" t="str">
        <v>Ashwin Raja</v>
      </c>
      <c r="C278" s="4" t="str">
        <f>_xlfn.XLOOKUP(A278,'EMPLOYEE MASTER DATA'!A278:A577,'EMPLOYEE MASTER DATA'!D278:D577)</f>
        <v>Accounts</v>
      </c>
      <c r="D278" s="4" t="str">
        <f>_xlfn.XLOOKUP(A278,'EMPLOYEE MASTER DATA'!A278:A577,'EMPLOYEE MASTER DATA'!E278:E577)</f>
        <v>Accounts Executive</v>
      </c>
      <c r="E278" s="26">
        <f>_xlfn.XLOOKUP(A278,'EMPLOYEE MASTER DATA'!A278:A577,'EMPLOYEE MASTER DATA'!F278:F577)</f>
        <v>26500</v>
      </c>
      <c r="F278" s="26">
        <f t="shared" si="33"/>
        <v>1104.1666666666667</v>
      </c>
      <c r="G278" s="4">
        <v>21</v>
      </c>
      <c r="H278" s="4">
        <f>_xlfn.XLOOKUP(A278,'MONTHLY ATTENDANCE SUMMARY'!A277:A576,'MONTHLY ATTENDANCE SUMMARY'!F277:F576)</f>
        <v>1</v>
      </c>
      <c r="I278" s="4">
        <f t="shared" si="34"/>
        <v>1</v>
      </c>
      <c r="J278" s="4">
        <f t="shared" si="35"/>
        <v>0</v>
      </c>
      <c r="K278" s="26">
        <f t="shared" si="36"/>
        <v>24291.666666666668</v>
      </c>
      <c r="L278" s="26">
        <f t="shared" si="32"/>
        <v>3180</v>
      </c>
      <c r="M278" s="26">
        <f t="shared" si="37"/>
        <v>200</v>
      </c>
      <c r="N278" s="26">
        <f t="shared" si="38"/>
        <v>0</v>
      </c>
      <c r="O278" s="27">
        <f t="shared" si="39"/>
        <v>20911.666666666668</v>
      </c>
    </row>
    <row r="279" spans="1:15" x14ac:dyDescent="0.3">
      <c r="A279" s="10" t="str">
        <v>EMP276</v>
      </c>
      <c r="B279" s="4" t="str">
        <v>Madhan Murugan</v>
      </c>
      <c r="C279" s="4" t="str">
        <f>_xlfn.XLOOKUP(A279,'EMPLOYEE MASTER DATA'!A279:A578,'EMPLOYEE MASTER DATA'!D279:D578)</f>
        <v>Maintenance</v>
      </c>
      <c r="D279" s="4" t="str">
        <f>_xlfn.XLOOKUP(A279,'EMPLOYEE MASTER DATA'!A279:A578,'EMPLOYEE MASTER DATA'!E279:E578)</f>
        <v>Maintenance Engineer</v>
      </c>
      <c r="E279" s="26">
        <f>_xlfn.XLOOKUP(A279,'EMPLOYEE MASTER DATA'!A279:A578,'EMPLOYEE MASTER DATA'!F279:F578)</f>
        <v>36000</v>
      </c>
      <c r="F279" s="26">
        <f t="shared" si="33"/>
        <v>1500</v>
      </c>
      <c r="G279" s="4">
        <v>18</v>
      </c>
      <c r="H279" s="4">
        <f>_xlfn.XLOOKUP(A279,'MONTHLY ATTENDANCE SUMMARY'!A278:A577,'MONTHLY ATTENDANCE SUMMARY'!F278:F577)</f>
        <v>1</v>
      </c>
      <c r="I279" s="4">
        <f t="shared" si="34"/>
        <v>1</v>
      </c>
      <c r="J279" s="4">
        <f t="shared" si="35"/>
        <v>0</v>
      </c>
      <c r="K279" s="26">
        <f t="shared" si="36"/>
        <v>28500</v>
      </c>
      <c r="L279" s="26">
        <f t="shared" si="32"/>
        <v>4320</v>
      </c>
      <c r="M279" s="26">
        <f t="shared" si="37"/>
        <v>200</v>
      </c>
      <c r="N279" s="26">
        <f t="shared" si="38"/>
        <v>0</v>
      </c>
      <c r="O279" s="27">
        <f t="shared" si="39"/>
        <v>23980</v>
      </c>
    </row>
    <row r="280" spans="1:15" x14ac:dyDescent="0.3">
      <c r="A280" s="10" t="str">
        <v>EMP277</v>
      </c>
      <c r="B280" s="4" t="str">
        <v>Sanjay R</v>
      </c>
      <c r="C280" s="4" t="str">
        <f>_xlfn.XLOOKUP(A280,'EMPLOYEE MASTER DATA'!A280:A579,'EMPLOYEE MASTER DATA'!D280:D579)</f>
        <v>Back End</v>
      </c>
      <c r="D280" s="4" t="str">
        <f>_xlfn.XLOOKUP(A280,'EMPLOYEE MASTER DATA'!A280:A579,'EMPLOYEE MASTER DATA'!E280:E579)</f>
        <v>Operations Executive</v>
      </c>
      <c r="E280" s="26">
        <f>_xlfn.XLOOKUP(A280,'EMPLOYEE MASTER DATA'!A280:A579,'EMPLOYEE MASTER DATA'!F280:F579)</f>
        <v>33000</v>
      </c>
      <c r="F280" s="26">
        <f t="shared" si="33"/>
        <v>1375</v>
      </c>
      <c r="G280" s="4">
        <v>22</v>
      </c>
      <c r="H280" s="4">
        <f>_xlfn.XLOOKUP(A280,'MONTHLY ATTENDANCE SUMMARY'!A279:A578,'MONTHLY ATTENDANCE SUMMARY'!F279:F578)</f>
        <v>1</v>
      </c>
      <c r="I280" s="4">
        <f t="shared" si="34"/>
        <v>1</v>
      </c>
      <c r="J280" s="4">
        <f t="shared" si="35"/>
        <v>0</v>
      </c>
      <c r="K280" s="26">
        <f t="shared" si="36"/>
        <v>31625</v>
      </c>
      <c r="L280" s="26">
        <f t="shared" si="32"/>
        <v>3960</v>
      </c>
      <c r="M280" s="26">
        <f t="shared" si="37"/>
        <v>200</v>
      </c>
      <c r="N280" s="26">
        <f t="shared" si="38"/>
        <v>0</v>
      </c>
      <c r="O280" s="27">
        <f t="shared" si="39"/>
        <v>27465</v>
      </c>
    </row>
    <row r="281" spans="1:15" x14ac:dyDescent="0.3">
      <c r="A281" s="10" t="str">
        <v>EMP278</v>
      </c>
      <c r="B281" s="4" t="str">
        <v>Praveen Krishnan</v>
      </c>
      <c r="C281" s="4" t="str">
        <f>_xlfn.XLOOKUP(A281,'EMPLOYEE MASTER DATA'!A281:A580,'EMPLOYEE MASTER DATA'!D281:D580)</f>
        <v>Maintenance</v>
      </c>
      <c r="D281" s="4" t="str">
        <f>_xlfn.XLOOKUP(A281,'EMPLOYEE MASTER DATA'!A281:A580,'EMPLOYEE MASTER DATA'!E281:E580)</f>
        <v>Mechanical Technician</v>
      </c>
      <c r="E281" s="26">
        <f>_xlfn.XLOOKUP(A281,'EMPLOYEE MASTER DATA'!A281:A580,'EMPLOYEE MASTER DATA'!F281:F580)</f>
        <v>34500</v>
      </c>
      <c r="F281" s="26">
        <f t="shared" si="33"/>
        <v>1437.5</v>
      </c>
      <c r="G281" s="4">
        <v>21</v>
      </c>
      <c r="H281" s="4">
        <f>_xlfn.XLOOKUP(A281,'MONTHLY ATTENDANCE SUMMARY'!A280:A579,'MONTHLY ATTENDANCE SUMMARY'!F280:F579)</f>
        <v>1</v>
      </c>
      <c r="I281" s="4">
        <f t="shared" si="34"/>
        <v>1</v>
      </c>
      <c r="J281" s="4">
        <f t="shared" si="35"/>
        <v>0</v>
      </c>
      <c r="K281" s="26">
        <f t="shared" si="36"/>
        <v>31625</v>
      </c>
      <c r="L281" s="26">
        <f t="shared" si="32"/>
        <v>4140</v>
      </c>
      <c r="M281" s="26">
        <f t="shared" si="37"/>
        <v>200</v>
      </c>
      <c r="N281" s="26">
        <f t="shared" si="38"/>
        <v>0</v>
      </c>
      <c r="O281" s="27">
        <f t="shared" si="39"/>
        <v>27285</v>
      </c>
    </row>
    <row r="282" spans="1:15" x14ac:dyDescent="0.3">
      <c r="A282" s="10" t="str">
        <v>EMP279</v>
      </c>
      <c r="B282" s="4" t="str">
        <v>Dinesh P</v>
      </c>
      <c r="C282" s="4" t="str">
        <f>_xlfn.XLOOKUP(A282,'EMPLOYEE MASTER DATA'!A282:A581,'EMPLOYEE MASTER DATA'!D282:D581)</f>
        <v>Maintenance</v>
      </c>
      <c r="D282" s="4" t="str">
        <f>_xlfn.XLOOKUP(A282,'EMPLOYEE MASTER DATA'!A282:A581,'EMPLOYEE MASTER DATA'!E282:E581)</f>
        <v>Maintenance Supervisor</v>
      </c>
      <c r="E282" s="26">
        <f>_xlfn.XLOOKUP(A282,'EMPLOYEE MASTER DATA'!A282:A581,'EMPLOYEE MASTER DATA'!F282:F581)</f>
        <v>54500</v>
      </c>
      <c r="F282" s="26">
        <f t="shared" si="33"/>
        <v>2270.8333333333335</v>
      </c>
      <c r="G282" s="4">
        <v>20</v>
      </c>
      <c r="H282" s="4">
        <f>_xlfn.XLOOKUP(A282,'MONTHLY ATTENDANCE SUMMARY'!A281:A580,'MONTHLY ATTENDANCE SUMMARY'!F281:F580)</f>
        <v>1</v>
      </c>
      <c r="I282" s="4">
        <f t="shared" si="34"/>
        <v>1</v>
      </c>
      <c r="J282" s="4">
        <f t="shared" si="35"/>
        <v>0</v>
      </c>
      <c r="K282" s="26">
        <f t="shared" si="36"/>
        <v>47687.5</v>
      </c>
      <c r="L282" s="26">
        <f t="shared" si="32"/>
        <v>6540</v>
      </c>
      <c r="M282" s="26">
        <f t="shared" si="37"/>
        <v>200</v>
      </c>
      <c r="N282" s="26">
        <f t="shared" si="38"/>
        <v>0</v>
      </c>
      <c r="O282" s="27">
        <f t="shared" si="39"/>
        <v>40947.5</v>
      </c>
    </row>
    <row r="283" spans="1:15" x14ac:dyDescent="0.3">
      <c r="A283" s="10" t="str">
        <v>EMP280</v>
      </c>
      <c r="B283" s="4" t="str">
        <v>Vinoth T</v>
      </c>
      <c r="C283" s="4" t="str">
        <f>_xlfn.XLOOKUP(A283,'EMPLOYEE MASTER DATA'!A283:A582,'EMPLOYEE MASTER DATA'!D283:D582)</f>
        <v>Customer Relationship</v>
      </c>
      <c r="D283" s="4" t="str">
        <f>_xlfn.XLOOKUP(A283,'EMPLOYEE MASTER DATA'!A283:A582,'EMPLOYEE MASTER DATA'!E283:E582)</f>
        <v>CRM Executive</v>
      </c>
      <c r="E283" s="26">
        <f>_xlfn.XLOOKUP(A283,'EMPLOYEE MASTER DATA'!A283:A582,'EMPLOYEE MASTER DATA'!F283:F582)</f>
        <v>23000</v>
      </c>
      <c r="F283" s="26">
        <f t="shared" si="33"/>
        <v>958.33333333333337</v>
      </c>
      <c r="G283" s="4">
        <v>20</v>
      </c>
      <c r="H283" s="4">
        <f>_xlfn.XLOOKUP(A283,'MONTHLY ATTENDANCE SUMMARY'!A282:A581,'MONTHLY ATTENDANCE SUMMARY'!F282:F581)</f>
        <v>2</v>
      </c>
      <c r="I283" s="4">
        <f t="shared" si="34"/>
        <v>1</v>
      </c>
      <c r="J283" s="4">
        <f t="shared" si="35"/>
        <v>1</v>
      </c>
      <c r="K283" s="26">
        <f t="shared" si="36"/>
        <v>20604.166666666668</v>
      </c>
      <c r="L283" s="26">
        <f t="shared" si="32"/>
        <v>2760</v>
      </c>
      <c r="M283" s="26">
        <f t="shared" si="37"/>
        <v>0</v>
      </c>
      <c r="N283" s="26">
        <f t="shared" si="38"/>
        <v>154.53125</v>
      </c>
      <c r="O283" s="27">
        <f t="shared" si="39"/>
        <v>17689.635416666668</v>
      </c>
    </row>
    <row r="284" spans="1:15" x14ac:dyDescent="0.3">
      <c r="A284" s="10" t="str">
        <v>EMP281</v>
      </c>
      <c r="B284" s="4" t="str">
        <v>Praveen Kumar</v>
      </c>
      <c r="C284" s="4" t="str">
        <f>_xlfn.XLOOKUP(A284,'EMPLOYEE MASTER DATA'!A284:A583,'EMPLOYEE MASTER DATA'!D284:D583)</f>
        <v>Admin</v>
      </c>
      <c r="D284" s="4" t="str">
        <f>_xlfn.XLOOKUP(A284,'EMPLOYEE MASTER DATA'!A284:A583,'EMPLOYEE MASTER DATA'!E284:E583)</f>
        <v>Facility Executive</v>
      </c>
      <c r="E284" s="26">
        <f>_xlfn.XLOOKUP(A284,'EMPLOYEE MASTER DATA'!A284:A583,'EMPLOYEE MASTER DATA'!F284:F583)</f>
        <v>31500</v>
      </c>
      <c r="F284" s="26">
        <f t="shared" si="33"/>
        <v>1312.5</v>
      </c>
      <c r="G284" s="4">
        <v>21</v>
      </c>
      <c r="H284" s="4">
        <f>_xlfn.XLOOKUP(A284,'MONTHLY ATTENDANCE SUMMARY'!A283:A582,'MONTHLY ATTENDANCE SUMMARY'!F283:F582)</f>
        <v>1</v>
      </c>
      <c r="I284" s="4">
        <f t="shared" si="34"/>
        <v>1</v>
      </c>
      <c r="J284" s="4">
        <f t="shared" si="35"/>
        <v>0</v>
      </c>
      <c r="K284" s="26">
        <f t="shared" si="36"/>
        <v>28875</v>
      </c>
      <c r="L284" s="26">
        <f t="shared" si="32"/>
        <v>3780</v>
      </c>
      <c r="M284" s="26">
        <f t="shared" si="37"/>
        <v>200</v>
      </c>
      <c r="N284" s="26">
        <f t="shared" si="38"/>
        <v>0</v>
      </c>
      <c r="O284" s="27">
        <f t="shared" si="39"/>
        <v>24895</v>
      </c>
    </row>
    <row r="285" spans="1:15" x14ac:dyDescent="0.3">
      <c r="A285" s="10" t="str">
        <v>EMP282</v>
      </c>
      <c r="B285" s="4" t="str">
        <v>Harish Selvam</v>
      </c>
      <c r="C285" s="4" t="str">
        <f>_xlfn.XLOOKUP(A285,'EMPLOYEE MASTER DATA'!A285:A584,'EMPLOYEE MASTER DATA'!D285:D584)</f>
        <v>Front Office</v>
      </c>
      <c r="D285" s="4" t="str">
        <f>_xlfn.XLOOKUP(A285,'EMPLOYEE MASTER DATA'!A285:A584,'EMPLOYEE MASTER DATA'!E285:E584)</f>
        <v>Front Office Executive</v>
      </c>
      <c r="E285" s="26">
        <f>_xlfn.XLOOKUP(A285,'EMPLOYEE MASTER DATA'!A285:A584,'EMPLOYEE MASTER DATA'!F285:F584)</f>
        <v>24000</v>
      </c>
      <c r="F285" s="26">
        <f t="shared" si="33"/>
        <v>1000</v>
      </c>
      <c r="G285" s="4">
        <v>19</v>
      </c>
      <c r="H285" s="4">
        <f>_xlfn.XLOOKUP(A285,'MONTHLY ATTENDANCE SUMMARY'!A284:A583,'MONTHLY ATTENDANCE SUMMARY'!F284:F583)</f>
        <v>2</v>
      </c>
      <c r="I285" s="4">
        <f t="shared" si="34"/>
        <v>1</v>
      </c>
      <c r="J285" s="4">
        <f t="shared" si="35"/>
        <v>1</v>
      </c>
      <c r="K285" s="26">
        <f t="shared" si="36"/>
        <v>20500</v>
      </c>
      <c r="L285" s="26">
        <f t="shared" si="32"/>
        <v>2880</v>
      </c>
      <c r="M285" s="26">
        <f t="shared" si="37"/>
        <v>0</v>
      </c>
      <c r="N285" s="26">
        <f t="shared" si="38"/>
        <v>153.75</v>
      </c>
      <c r="O285" s="27">
        <f t="shared" si="39"/>
        <v>17466.25</v>
      </c>
    </row>
    <row r="286" spans="1:15" x14ac:dyDescent="0.3">
      <c r="A286" s="10" t="str">
        <v>EMP283</v>
      </c>
      <c r="B286" s="4" t="str">
        <v>Aravind K</v>
      </c>
      <c r="C286" s="4" t="str">
        <f>_xlfn.XLOOKUP(A286,'EMPLOYEE MASTER DATA'!A286:A585,'EMPLOYEE MASTER DATA'!D286:D585)</f>
        <v>Procurement</v>
      </c>
      <c r="D286" s="4" t="str">
        <f>_xlfn.XLOOKUP(A286,'EMPLOYEE MASTER DATA'!A286:A585,'EMPLOYEE MASTER DATA'!E286:E585)</f>
        <v>Buyer</v>
      </c>
      <c r="E286" s="26">
        <f>_xlfn.XLOOKUP(A286,'EMPLOYEE MASTER DATA'!A286:A585,'EMPLOYEE MASTER DATA'!F286:F585)</f>
        <v>37500</v>
      </c>
      <c r="F286" s="26">
        <f t="shared" si="33"/>
        <v>1562.5</v>
      </c>
      <c r="G286" s="4">
        <v>20</v>
      </c>
      <c r="H286" s="4">
        <f>_xlfn.XLOOKUP(A286,'MONTHLY ATTENDANCE SUMMARY'!A285:A584,'MONTHLY ATTENDANCE SUMMARY'!F285:F584)</f>
        <v>2</v>
      </c>
      <c r="I286" s="4">
        <f t="shared" si="34"/>
        <v>1</v>
      </c>
      <c r="J286" s="4">
        <f t="shared" si="35"/>
        <v>1</v>
      </c>
      <c r="K286" s="26">
        <f t="shared" si="36"/>
        <v>33593.75</v>
      </c>
      <c r="L286" s="26">
        <f t="shared" si="32"/>
        <v>4500</v>
      </c>
      <c r="M286" s="26">
        <f t="shared" si="37"/>
        <v>200</v>
      </c>
      <c r="N286" s="26">
        <f t="shared" si="38"/>
        <v>0</v>
      </c>
      <c r="O286" s="27">
        <f t="shared" si="39"/>
        <v>28893.75</v>
      </c>
    </row>
    <row r="287" spans="1:15" x14ac:dyDescent="0.3">
      <c r="A287" s="10" t="str">
        <v>EMP284</v>
      </c>
      <c r="B287" s="4" t="str">
        <v>Naveen Babu</v>
      </c>
      <c r="C287" s="4" t="str">
        <f>_xlfn.XLOOKUP(A287,'EMPLOYEE MASTER DATA'!A287:A586,'EMPLOYEE MASTER DATA'!D287:D586)</f>
        <v>HR</v>
      </c>
      <c r="D287" s="4" t="str">
        <f>_xlfn.XLOOKUP(A287,'EMPLOYEE MASTER DATA'!A287:A586,'EMPLOYEE MASTER DATA'!E287:E586)</f>
        <v>HR Executive</v>
      </c>
      <c r="E287" s="26">
        <f>_xlfn.XLOOKUP(A287,'EMPLOYEE MASTER DATA'!A287:A586,'EMPLOYEE MASTER DATA'!F287:F586)</f>
        <v>29500</v>
      </c>
      <c r="F287" s="26">
        <f t="shared" si="33"/>
        <v>1229.1666666666667</v>
      </c>
      <c r="G287" s="4">
        <v>19</v>
      </c>
      <c r="H287" s="4">
        <f>_xlfn.XLOOKUP(A287,'MONTHLY ATTENDANCE SUMMARY'!A286:A585,'MONTHLY ATTENDANCE SUMMARY'!F286:F585)</f>
        <v>1</v>
      </c>
      <c r="I287" s="4">
        <f t="shared" si="34"/>
        <v>1</v>
      </c>
      <c r="J287" s="4">
        <f t="shared" si="35"/>
        <v>0</v>
      </c>
      <c r="K287" s="26">
        <f t="shared" si="36"/>
        <v>24583.333333333336</v>
      </c>
      <c r="L287" s="26">
        <f t="shared" si="32"/>
        <v>3540</v>
      </c>
      <c r="M287" s="26">
        <f t="shared" si="37"/>
        <v>200</v>
      </c>
      <c r="N287" s="26">
        <f t="shared" si="38"/>
        <v>0</v>
      </c>
      <c r="O287" s="27">
        <f t="shared" si="39"/>
        <v>20843.333333333336</v>
      </c>
    </row>
    <row r="288" spans="1:15" x14ac:dyDescent="0.3">
      <c r="A288" s="10" t="str">
        <v>EMP285</v>
      </c>
      <c r="B288" s="4" t="str">
        <v>Kishore Kannan</v>
      </c>
      <c r="C288" s="4" t="str">
        <f>_xlfn.XLOOKUP(A288,'EMPLOYEE MASTER DATA'!A288:A587,'EMPLOYEE MASTER DATA'!D288:D587)</f>
        <v>IT</v>
      </c>
      <c r="D288" s="4" t="str">
        <f>_xlfn.XLOOKUP(A288,'EMPLOYEE MASTER DATA'!A288:A587,'EMPLOYEE MASTER DATA'!E288:E587)</f>
        <v>IT Manager</v>
      </c>
      <c r="E288" s="26">
        <f>_xlfn.XLOOKUP(A288,'EMPLOYEE MASTER DATA'!A288:A587,'EMPLOYEE MASTER DATA'!F288:F587)</f>
        <v>76500</v>
      </c>
      <c r="F288" s="26">
        <f t="shared" si="33"/>
        <v>3187.5</v>
      </c>
      <c r="G288" s="4">
        <v>21</v>
      </c>
      <c r="H288" s="4">
        <f>_xlfn.XLOOKUP(A288,'MONTHLY ATTENDANCE SUMMARY'!A287:A586,'MONTHLY ATTENDANCE SUMMARY'!F287:F586)</f>
        <v>1</v>
      </c>
      <c r="I288" s="4">
        <f t="shared" si="34"/>
        <v>1</v>
      </c>
      <c r="J288" s="4">
        <f t="shared" si="35"/>
        <v>0</v>
      </c>
      <c r="K288" s="26">
        <f t="shared" si="36"/>
        <v>70125</v>
      </c>
      <c r="L288" s="26">
        <f t="shared" si="32"/>
        <v>9180</v>
      </c>
      <c r="M288" s="26">
        <f t="shared" si="37"/>
        <v>200</v>
      </c>
      <c r="N288" s="26">
        <f t="shared" si="38"/>
        <v>0</v>
      </c>
      <c r="O288" s="27">
        <f t="shared" si="39"/>
        <v>60745</v>
      </c>
    </row>
    <row r="289" spans="1:15" x14ac:dyDescent="0.3">
      <c r="A289" s="10" t="str">
        <v>EMP286</v>
      </c>
      <c r="B289" s="4" t="str">
        <v>Rahul N</v>
      </c>
      <c r="C289" s="4" t="str">
        <f>_xlfn.XLOOKUP(A289,'EMPLOYEE MASTER DATA'!A289:A588,'EMPLOYEE MASTER DATA'!D289:D588)</f>
        <v>Admin</v>
      </c>
      <c r="D289" s="4" t="str">
        <f>_xlfn.XLOOKUP(A289,'EMPLOYEE MASTER DATA'!A289:A588,'EMPLOYEE MASTER DATA'!E289:E588)</f>
        <v>Facility Executive</v>
      </c>
      <c r="E289" s="26">
        <f>_xlfn.XLOOKUP(A289,'EMPLOYEE MASTER DATA'!A289:A588,'EMPLOYEE MASTER DATA'!F289:F588)</f>
        <v>32500</v>
      </c>
      <c r="F289" s="26">
        <f t="shared" si="33"/>
        <v>1354.1666666666667</v>
      </c>
      <c r="G289" s="4">
        <v>18</v>
      </c>
      <c r="H289" s="4">
        <f>_xlfn.XLOOKUP(A289,'MONTHLY ATTENDANCE SUMMARY'!A288:A587,'MONTHLY ATTENDANCE SUMMARY'!F288:F587)</f>
        <v>2</v>
      </c>
      <c r="I289" s="4">
        <f t="shared" si="34"/>
        <v>1</v>
      </c>
      <c r="J289" s="4">
        <f t="shared" si="35"/>
        <v>1</v>
      </c>
      <c r="K289" s="26">
        <f t="shared" si="36"/>
        <v>26406.25</v>
      </c>
      <c r="L289" s="26">
        <f t="shared" si="32"/>
        <v>3900</v>
      </c>
      <c r="M289" s="26">
        <f t="shared" si="37"/>
        <v>200</v>
      </c>
      <c r="N289" s="26">
        <f t="shared" si="38"/>
        <v>0</v>
      </c>
      <c r="O289" s="27">
        <f t="shared" si="39"/>
        <v>22306.25</v>
      </c>
    </row>
    <row r="290" spans="1:15" x14ac:dyDescent="0.3">
      <c r="A290" s="10" t="str">
        <v>EMP287</v>
      </c>
      <c r="B290" s="4" t="str">
        <v>Arun Kumar</v>
      </c>
      <c r="C290" s="4" t="str">
        <f>_xlfn.XLOOKUP(A290,'EMPLOYEE MASTER DATA'!A290:A589,'EMPLOYEE MASTER DATA'!D290:D589)</f>
        <v>Maintenance</v>
      </c>
      <c r="D290" s="4" t="str">
        <f>_xlfn.XLOOKUP(A290,'EMPLOYEE MASTER DATA'!A290:A589,'EMPLOYEE MASTER DATA'!E290:E589)</f>
        <v>Maintenance Engineer</v>
      </c>
      <c r="E290" s="26">
        <f>_xlfn.XLOOKUP(A290,'EMPLOYEE MASTER DATA'!A290:A589,'EMPLOYEE MASTER DATA'!F290:F589)</f>
        <v>38000</v>
      </c>
      <c r="F290" s="26">
        <f t="shared" si="33"/>
        <v>1583.3333333333333</v>
      </c>
      <c r="G290" s="4">
        <v>19</v>
      </c>
      <c r="H290" s="4">
        <f>_xlfn.XLOOKUP(A290,'MONTHLY ATTENDANCE SUMMARY'!A289:A588,'MONTHLY ATTENDANCE SUMMARY'!F289:F588)</f>
        <v>2</v>
      </c>
      <c r="I290" s="4">
        <f t="shared" si="34"/>
        <v>1</v>
      </c>
      <c r="J290" s="4">
        <f t="shared" si="35"/>
        <v>1</v>
      </c>
      <c r="K290" s="26">
        <f t="shared" si="36"/>
        <v>32458.333333333332</v>
      </c>
      <c r="L290" s="26">
        <f t="shared" si="32"/>
        <v>4560</v>
      </c>
      <c r="M290" s="26">
        <f t="shared" si="37"/>
        <v>200</v>
      </c>
      <c r="N290" s="26">
        <f t="shared" si="38"/>
        <v>0</v>
      </c>
      <c r="O290" s="27">
        <f t="shared" si="39"/>
        <v>27698.333333333332</v>
      </c>
    </row>
    <row r="291" spans="1:15" x14ac:dyDescent="0.3">
      <c r="A291" s="10" t="str">
        <v>EMP288</v>
      </c>
      <c r="B291" s="4" t="str">
        <v>Ajay Kumar</v>
      </c>
      <c r="C291" s="4" t="str">
        <f>_xlfn.XLOOKUP(A291,'EMPLOYEE MASTER DATA'!A291:A590,'EMPLOYEE MASTER DATA'!D291:D590)</f>
        <v>Admin</v>
      </c>
      <c r="D291" s="4" t="str">
        <f>_xlfn.XLOOKUP(A291,'EMPLOYEE MASTER DATA'!A291:A590,'EMPLOYEE MASTER DATA'!E291:E590)</f>
        <v>Office Administrator</v>
      </c>
      <c r="E291" s="26">
        <f>_xlfn.XLOOKUP(A291,'EMPLOYEE MASTER DATA'!A291:A590,'EMPLOYEE MASTER DATA'!F291:F590)</f>
        <v>29500</v>
      </c>
      <c r="F291" s="26">
        <f t="shared" si="33"/>
        <v>1229.1666666666667</v>
      </c>
      <c r="G291" s="4">
        <v>19</v>
      </c>
      <c r="H291" s="4">
        <f>_xlfn.XLOOKUP(A291,'MONTHLY ATTENDANCE SUMMARY'!A290:A589,'MONTHLY ATTENDANCE SUMMARY'!F290:F589)</f>
        <v>2</v>
      </c>
      <c r="I291" s="4">
        <f t="shared" si="34"/>
        <v>1</v>
      </c>
      <c r="J291" s="4">
        <f t="shared" si="35"/>
        <v>1</v>
      </c>
      <c r="K291" s="26">
        <f t="shared" si="36"/>
        <v>25197.916666666668</v>
      </c>
      <c r="L291" s="26">
        <f t="shared" si="32"/>
        <v>3540</v>
      </c>
      <c r="M291" s="26">
        <f t="shared" si="37"/>
        <v>200</v>
      </c>
      <c r="N291" s="26">
        <f t="shared" si="38"/>
        <v>0</v>
      </c>
      <c r="O291" s="27">
        <f t="shared" si="39"/>
        <v>21457.916666666668</v>
      </c>
    </row>
    <row r="292" spans="1:15" x14ac:dyDescent="0.3">
      <c r="A292" s="10" t="str">
        <v>EMP289</v>
      </c>
      <c r="B292" s="4" t="str">
        <v>Arun K</v>
      </c>
      <c r="C292" s="4" t="str">
        <f>_xlfn.XLOOKUP(A292,'EMPLOYEE MASTER DATA'!A292:A591,'EMPLOYEE MASTER DATA'!D292:D591)</f>
        <v>Production</v>
      </c>
      <c r="D292" s="4" t="str">
        <f>_xlfn.XLOOKUP(A292,'EMPLOYEE MASTER DATA'!A292:A591,'EMPLOYEE MASTER DATA'!E292:E591)</f>
        <v>Shift Incharge</v>
      </c>
      <c r="E292" s="26">
        <f>_xlfn.XLOOKUP(A292,'EMPLOYEE MASTER DATA'!A292:A591,'EMPLOYEE MASTER DATA'!F292:F591)</f>
        <v>45500</v>
      </c>
      <c r="F292" s="26">
        <f t="shared" si="33"/>
        <v>1895.8333333333333</v>
      </c>
      <c r="G292" s="4">
        <v>22</v>
      </c>
      <c r="H292" s="4">
        <f>_xlfn.XLOOKUP(A292,'MONTHLY ATTENDANCE SUMMARY'!A291:A590,'MONTHLY ATTENDANCE SUMMARY'!F291:F590)</f>
        <v>1</v>
      </c>
      <c r="I292" s="4">
        <f t="shared" si="34"/>
        <v>1</v>
      </c>
      <c r="J292" s="4">
        <f t="shared" si="35"/>
        <v>0</v>
      </c>
      <c r="K292" s="26">
        <f t="shared" si="36"/>
        <v>43604.166666666664</v>
      </c>
      <c r="L292" s="26">
        <f t="shared" si="32"/>
        <v>5460</v>
      </c>
      <c r="M292" s="26">
        <f t="shared" si="37"/>
        <v>200</v>
      </c>
      <c r="N292" s="26">
        <f t="shared" si="38"/>
        <v>0</v>
      </c>
      <c r="O292" s="27">
        <f t="shared" si="39"/>
        <v>37944.166666666664</v>
      </c>
    </row>
    <row r="293" spans="1:15" x14ac:dyDescent="0.3">
      <c r="A293" s="10" t="str">
        <v>EMP290</v>
      </c>
      <c r="B293" s="4" t="str">
        <v>Prakash Prasad</v>
      </c>
      <c r="C293" s="4" t="str">
        <f>_xlfn.XLOOKUP(A293,'EMPLOYEE MASTER DATA'!A293:A592,'EMPLOYEE MASTER DATA'!D293:D592)</f>
        <v>Customer Relationship</v>
      </c>
      <c r="D293" s="4" t="str">
        <f>_xlfn.XLOOKUP(A293,'EMPLOYEE MASTER DATA'!A293:A592,'EMPLOYEE MASTER DATA'!E293:E592)</f>
        <v>Customer Service Executive</v>
      </c>
      <c r="E293" s="26">
        <f>_xlfn.XLOOKUP(A293,'EMPLOYEE MASTER DATA'!A293:A592,'EMPLOYEE MASTER DATA'!F293:F592)</f>
        <v>30000</v>
      </c>
      <c r="F293" s="26">
        <f t="shared" si="33"/>
        <v>1250</v>
      </c>
      <c r="G293" s="4">
        <v>20</v>
      </c>
      <c r="H293" s="4">
        <f>_xlfn.XLOOKUP(A293,'MONTHLY ATTENDANCE SUMMARY'!A292:A591,'MONTHLY ATTENDANCE SUMMARY'!F292:F591)</f>
        <v>2</v>
      </c>
      <c r="I293" s="4">
        <f t="shared" si="34"/>
        <v>1</v>
      </c>
      <c r="J293" s="4">
        <f t="shared" si="35"/>
        <v>1</v>
      </c>
      <c r="K293" s="26">
        <f t="shared" si="36"/>
        <v>26875</v>
      </c>
      <c r="L293" s="26">
        <f t="shared" si="32"/>
        <v>3600</v>
      </c>
      <c r="M293" s="26">
        <f t="shared" si="37"/>
        <v>200</v>
      </c>
      <c r="N293" s="26">
        <f t="shared" si="38"/>
        <v>0</v>
      </c>
      <c r="O293" s="27">
        <f t="shared" si="39"/>
        <v>23075</v>
      </c>
    </row>
    <row r="294" spans="1:15" x14ac:dyDescent="0.3">
      <c r="A294" s="10" t="str">
        <v>EMP291</v>
      </c>
      <c r="B294" s="4" t="str">
        <v>Bharath N</v>
      </c>
      <c r="C294" s="4" t="str">
        <f>_xlfn.XLOOKUP(A294,'EMPLOYEE MASTER DATA'!A294:A593,'EMPLOYEE MASTER DATA'!D294:D593)</f>
        <v>Accounts</v>
      </c>
      <c r="D294" s="4" t="str">
        <f>_xlfn.XLOOKUP(A294,'EMPLOYEE MASTER DATA'!A294:A593,'EMPLOYEE MASTER DATA'!E294:E593)</f>
        <v>Senior Accountant</v>
      </c>
      <c r="E294" s="26">
        <f>_xlfn.XLOOKUP(A294,'EMPLOYEE MASTER DATA'!A294:A593,'EMPLOYEE MASTER DATA'!F294:F593)</f>
        <v>40000</v>
      </c>
      <c r="F294" s="26">
        <f t="shared" si="33"/>
        <v>1666.6666666666667</v>
      </c>
      <c r="G294" s="4">
        <v>21</v>
      </c>
      <c r="H294" s="4">
        <f>_xlfn.XLOOKUP(A294,'MONTHLY ATTENDANCE SUMMARY'!A293:A592,'MONTHLY ATTENDANCE SUMMARY'!F293:F592)</f>
        <v>1</v>
      </c>
      <c r="I294" s="4">
        <f t="shared" si="34"/>
        <v>1</v>
      </c>
      <c r="J294" s="4">
        <f t="shared" si="35"/>
        <v>0</v>
      </c>
      <c r="K294" s="26">
        <f t="shared" si="36"/>
        <v>36666.666666666672</v>
      </c>
      <c r="L294" s="26">
        <f t="shared" si="32"/>
        <v>4800</v>
      </c>
      <c r="M294" s="26">
        <f t="shared" si="37"/>
        <v>200</v>
      </c>
      <c r="N294" s="26">
        <f t="shared" si="38"/>
        <v>0</v>
      </c>
      <c r="O294" s="27">
        <f t="shared" si="39"/>
        <v>31666.666666666672</v>
      </c>
    </row>
    <row r="295" spans="1:15" x14ac:dyDescent="0.3">
      <c r="A295" s="10" t="str">
        <v>EMP292</v>
      </c>
      <c r="B295" s="4" t="str">
        <v>Suresh Murugan</v>
      </c>
      <c r="C295" s="4" t="str">
        <f>_xlfn.XLOOKUP(A295,'EMPLOYEE MASTER DATA'!A295:A594,'EMPLOYEE MASTER DATA'!D295:D594)</f>
        <v>Maintenance</v>
      </c>
      <c r="D295" s="4" t="str">
        <f>_xlfn.XLOOKUP(A295,'EMPLOYEE MASTER DATA'!A295:A594,'EMPLOYEE MASTER DATA'!E295:E594)</f>
        <v>Maintenance Supervisor</v>
      </c>
      <c r="E295" s="26">
        <f>_xlfn.XLOOKUP(A295,'EMPLOYEE MASTER DATA'!A295:A594,'EMPLOYEE MASTER DATA'!F295:F594)</f>
        <v>48500</v>
      </c>
      <c r="F295" s="26">
        <f t="shared" si="33"/>
        <v>2020.8333333333333</v>
      </c>
      <c r="G295" s="4">
        <v>19</v>
      </c>
      <c r="H295" s="4">
        <f>_xlfn.XLOOKUP(A295,'MONTHLY ATTENDANCE SUMMARY'!A294:A593,'MONTHLY ATTENDANCE SUMMARY'!F294:F593)</f>
        <v>1</v>
      </c>
      <c r="I295" s="4">
        <f t="shared" si="34"/>
        <v>1</v>
      </c>
      <c r="J295" s="4">
        <f t="shared" si="35"/>
        <v>0</v>
      </c>
      <c r="K295" s="26">
        <f t="shared" si="36"/>
        <v>40416.666666666664</v>
      </c>
      <c r="L295" s="26">
        <f t="shared" si="32"/>
        <v>5820</v>
      </c>
      <c r="M295" s="26">
        <f t="shared" si="37"/>
        <v>200</v>
      </c>
      <c r="N295" s="26">
        <f t="shared" si="38"/>
        <v>0</v>
      </c>
      <c r="O295" s="27">
        <f t="shared" si="39"/>
        <v>34396.666666666664</v>
      </c>
    </row>
    <row r="296" spans="1:15" x14ac:dyDescent="0.3">
      <c r="A296" s="10" t="str">
        <v>EMP293</v>
      </c>
      <c r="B296" s="4" t="str">
        <v>Rahul K</v>
      </c>
      <c r="C296" s="4" t="str">
        <f>_xlfn.XLOOKUP(A296,'EMPLOYEE MASTER DATA'!A296:A595,'EMPLOYEE MASTER DATA'!D296:D595)</f>
        <v>Maintenance</v>
      </c>
      <c r="D296" s="4" t="str">
        <f>_xlfn.XLOOKUP(A296,'EMPLOYEE MASTER DATA'!A296:A595,'EMPLOYEE MASTER DATA'!E296:E595)</f>
        <v>Maintenance Engineer</v>
      </c>
      <c r="E296" s="26">
        <f>_xlfn.XLOOKUP(A296,'EMPLOYEE MASTER DATA'!A296:A595,'EMPLOYEE MASTER DATA'!F296:F595)</f>
        <v>46500</v>
      </c>
      <c r="F296" s="26">
        <f t="shared" si="33"/>
        <v>1937.5</v>
      </c>
      <c r="G296" s="4">
        <v>21</v>
      </c>
      <c r="H296" s="4">
        <f>_xlfn.XLOOKUP(A296,'MONTHLY ATTENDANCE SUMMARY'!A295:A594,'MONTHLY ATTENDANCE SUMMARY'!F295:F594)</f>
        <v>1</v>
      </c>
      <c r="I296" s="4">
        <f t="shared" si="34"/>
        <v>1</v>
      </c>
      <c r="J296" s="4">
        <f t="shared" si="35"/>
        <v>0</v>
      </c>
      <c r="K296" s="26">
        <f t="shared" si="36"/>
        <v>42625</v>
      </c>
      <c r="L296" s="26">
        <f t="shared" si="32"/>
        <v>5580</v>
      </c>
      <c r="M296" s="26">
        <f t="shared" si="37"/>
        <v>200</v>
      </c>
      <c r="N296" s="26">
        <f t="shared" si="38"/>
        <v>0</v>
      </c>
      <c r="O296" s="27">
        <f t="shared" si="39"/>
        <v>36845</v>
      </c>
    </row>
    <row r="297" spans="1:15" x14ac:dyDescent="0.3">
      <c r="A297" s="10" t="str">
        <v>EMP294</v>
      </c>
      <c r="B297" s="4" t="str">
        <v>Nithin N</v>
      </c>
      <c r="C297" s="4" t="str">
        <f>_xlfn.XLOOKUP(A297,'EMPLOYEE MASTER DATA'!A297:A596,'EMPLOYEE MASTER DATA'!D297:D596)</f>
        <v>IT</v>
      </c>
      <c r="D297" s="4" t="str">
        <f>_xlfn.XLOOKUP(A297,'EMPLOYEE MASTER DATA'!A297:A596,'EMPLOYEE MASTER DATA'!E297:E596)</f>
        <v>Network Engineer</v>
      </c>
      <c r="E297" s="26">
        <f>_xlfn.XLOOKUP(A297,'EMPLOYEE MASTER DATA'!A297:A596,'EMPLOYEE MASTER DATA'!F297:F596)</f>
        <v>40000</v>
      </c>
      <c r="F297" s="26">
        <f t="shared" si="33"/>
        <v>1666.6666666666667</v>
      </c>
      <c r="G297" s="4">
        <v>21</v>
      </c>
      <c r="H297" s="4">
        <f>_xlfn.XLOOKUP(A297,'MONTHLY ATTENDANCE SUMMARY'!A296:A595,'MONTHLY ATTENDANCE SUMMARY'!F296:F595)</f>
        <v>1</v>
      </c>
      <c r="I297" s="4">
        <f t="shared" si="34"/>
        <v>1</v>
      </c>
      <c r="J297" s="4">
        <f t="shared" si="35"/>
        <v>0</v>
      </c>
      <c r="K297" s="26">
        <f t="shared" si="36"/>
        <v>36666.666666666672</v>
      </c>
      <c r="L297" s="26">
        <f t="shared" si="32"/>
        <v>4800</v>
      </c>
      <c r="M297" s="26">
        <f t="shared" si="37"/>
        <v>200</v>
      </c>
      <c r="N297" s="26">
        <f t="shared" si="38"/>
        <v>0</v>
      </c>
      <c r="O297" s="27">
        <f t="shared" si="39"/>
        <v>31666.666666666672</v>
      </c>
    </row>
    <row r="298" spans="1:15" x14ac:dyDescent="0.3">
      <c r="A298" s="10" t="str">
        <v>EMP295</v>
      </c>
      <c r="B298" s="4" t="str">
        <v>Praveen M</v>
      </c>
      <c r="C298" s="4" t="str">
        <f>_xlfn.XLOOKUP(A298,'EMPLOYEE MASTER DATA'!A298:A597,'EMPLOYEE MASTER DATA'!D298:D597)</f>
        <v>Sales</v>
      </c>
      <c r="D298" s="4" t="str">
        <f>_xlfn.XLOOKUP(A298,'EMPLOYEE MASTER DATA'!A298:A597,'EMPLOYEE MASTER DATA'!E298:E597)</f>
        <v>Key Account Executive</v>
      </c>
      <c r="E298" s="26">
        <f>_xlfn.XLOOKUP(A298,'EMPLOYEE MASTER DATA'!A298:A597,'EMPLOYEE MASTER DATA'!F298:F597)</f>
        <v>39500</v>
      </c>
      <c r="F298" s="26">
        <f t="shared" si="33"/>
        <v>1645.8333333333333</v>
      </c>
      <c r="G298" s="4">
        <v>18</v>
      </c>
      <c r="H298" s="4">
        <f>_xlfn.XLOOKUP(A298,'MONTHLY ATTENDANCE SUMMARY'!A297:A596,'MONTHLY ATTENDANCE SUMMARY'!F297:F596)</f>
        <v>1</v>
      </c>
      <c r="I298" s="4">
        <f t="shared" si="34"/>
        <v>1</v>
      </c>
      <c r="J298" s="4">
        <f t="shared" si="35"/>
        <v>0</v>
      </c>
      <c r="K298" s="26">
        <f t="shared" si="36"/>
        <v>31270.833333333332</v>
      </c>
      <c r="L298" s="26">
        <f t="shared" si="32"/>
        <v>4740</v>
      </c>
      <c r="M298" s="26">
        <f t="shared" si="37"/>
        <v>200</v>
      </c>
      <c r="N298" s="26">
        <f t="shared" si="38"/>
        <v>0</v>
      </c>
      <c r="O298" s="27">
        <f t="shared" si="39"/>
        <v>26330.833333333332</v>
      </c>
    </row>
    <row r="299" spans="1:15" x14ac:dyDescent="0.3">
      <c r="A299" s="10" t="str">
        <v>EMP296</v>
      </c>
      <c r="B299" s="4" t="str">
        <v>Sanjay B</v>
      </c>
      <c r="C299" s="4" t="str">
        <f>_xlfn.XLOOKUP(A299,'EMPLOYEE MASTER DATA'!A299:A598,'EMPLOYEE MASTER DATA'!D299:D598)</f>
        <v>Sales</v>
      </c>
      <c r="D299" s="4" t="str">
        <f>_xlfn.XLOOKUP(A299,'EMPLOYEE MASTER DATA'!A299:A598,'EMPLOYEE MASTER DATA'!E299:E598)</f>
        <v>Senior Sales Executive</v>
      </c>
      <c r="E299" s="26">
        <f>_xlfn.XLOOKUP(A299,'EMPLOYEE MASTER DATA'!A299:A598,'EMPLOYEE MASTER DATA'!F299:F598)</f>
        <v>37500</v>
      </c>
      <c r="F299" s="26">
        <f t="shared" si="33"/>
        <v>1562.5</v>
      </c>
      <c r="G299" s="4">
        <v>21</v>
      </c>
      <c r="H299" s="4">
        <f>_xlfn.XLOOKUP(A299,'MONTHLY ATTENDANCE SUMMARY'!A298:A597,'MONTHLY ATTENDANCE SUMMARY'!F298:F597)</f>
        <v>1</v>
      </c>
      <c r="I299" s="4">
        <f t="shared" si="34"/>
        <v>1</v>
      </c>
      <c r="J299" s="4">
        <f t="shared" si="35"/>
        <v>0</v>
      </c>
      <c r="K299" s="26">
        <f t="shared" si="36"/>
        <v>34375</v>
      </c>
      <c r="L299" s="26">
        <f t="shared" si="32"/>
        <v>4500</v>
      </c>
      <c r="M299" s="26">
        <f t="shared" si="37"/>
        <v>200</v>
      </c>
      <c r="N299" s="26">
        <f t="shared" si="38"/>
        <v>0</v>
      </c>
      <c r="O299" s="27">
        <f t="shared" si="39"/>
        <v>29675</v>
      </c>
    </row>
    <row r="300" spans="1:15" x14ac:dyDescent="0.3">
      <c r="A300" s="10" t="str">
        <v>EMP297</v>
      </c>
      <c r="B300" s="4" t="str">
        <v>Vinoth Kannan</v>
      </c>
      <c r="C300" s="4" t="str">
        <f>_xlfn.XLOOKUP(A300,'EMPLOYEE MASTER DATA'!A300:A599,'EMPLOYEE MASTER DATA'!D300:D599)</f>
        <v>Production</v>
      </c>
      <c r="D300" s="4" t="str">
        <f>_xlfn.XLOOKUP(A300,'EMPLOYEE MASTER DATA'!A300:A599,'EMPLOYEE MASTER DATA'!E300:E599)</f>
        <v>Production Executive</v>
      </c>
      <c r="E300" s="26">
        <f>_xlfn.XLOOKUP(A300,'EMPLOYEE MASTER DATA'!A300:A599,'EMPLOYEE MASTER DATA'!F300:F599)</f>
        <v>23000</v>
      </c>
      <c r="F300" s="26">
        <f t="shared" si="33"/>
        <v>958.33333333333337</v>
      </c>
      <c r="G300" s="4">
        <v>20</v>
      </c>
      <c r="H300" s="4">
        <f>_xlfn.XLOOKUP(A300,'MONTHLY ATTENDANCE SUMMARY'!A299:A598,'MONTHLY ATTENDANCE SUMMARY'!F299:F598)</f>
        <v>1</v>
      </c>
      <c r="I300" s="4">
        <f t="shared" si="34"/>
        <v>1</v>
      </c>
      <c r="J300" s="4">
        <f t="shared" si="35"/>
        <v>0</v>
      </c>
      <c r="K300" s="26">
        <f t="shared" si="36"/>
        <v>20125</v>
      </c>
      <c r="L300" s="26">
        <f t="shared" si="32"/>
        <v>2760</v>
      </c>
      <c r="M300" s="26">
        <f t="shared" si="37"/>
        <v>0</v>
      </c>
      <c r="N300" s="26">
        <f t="shared" si="38"/>
        <v>150.9375</v>
      </c>
      <c r="O300" s="27">
        <f t="shared" si="39"/>
        <v>17214.0625</v>
      </c>
    </row>
    <row r="301" spans="1:15" x14ac:dyDescent="0.3">
      <c r="A301" s="10" t="str">
        <v>EMP298</v>
      </c>
      <c r="B301" s="4" t="str">
        <v>Harish Narayanan</v>
      </c>
      <c r="C301" s="4" t="str">
        <f>_xlfn.XLOOKUP(A301,'EMPLOYEE MASTER DATA'!A301:A600,'EMPLOYEE MASTER DATA'!D301:D600)</f>
        <v>Admin</v>
      </c>
      <c r="D301" s="4" t="str">
        <f>_xlfn.XLOOKUP(A301,'EMPLOYEE MASTER DATA'!A301:A600,'EMPLOYEE MASTER DATA'!E301:E600)</f>
        <v>Admin Executive</v>
      </c>
      <c r="E301" s="26">
        <f>_xlfn.XLOOKUP(A301,'EMPLOYEE MASTER DATA'!A301:A600,'EMPLOYEE MASTER DATA'!F301:F600)</f>
        <v>23500</v>
      </c>
      <c r="F301" s="26">
        <f t="shared" si="33"/>
        <v>979.16666666666663</v>
      </c>
      <c r="G301" s="4">
        <v>22</v>
      </c>
      <c r="H301" s="4">
        <f>_xlfn.XLOOKUP(A301,'MONTHLY ATTENDANCE SUMMARY'!A300:A599,'MONTHLY ATTENDANCE SUMMARY'!F300:F599)</f>
        <v>1</v>
      </c>
      <c r="I301" s="4">
        <f t="shared" si="34"/>
        <v>1</v>
      </c>
      <c r="J301" s="4">
        <f t="shared" si="35"/>
        <v>0</v>
      </c>
      <c r="K301" s="26">
        <f t="shared" si="36"/>
        <v>22520.833333333332</v>
      </c>
      <c r="L301" s="26">
        <f t="shared" si="32"/>
        <v>2820</v>
      </c>
      <c r="M301" s="26">
        <f t="shared" si="37"/>
        <v>200</v>
      </c>
      <c r="N301" s="26">
        <f t="shared" si="38"/>
        <v>0</v>
      </c>
      <c r="O301" s="27">
        <f t="shared" si="39"/>
        <v>19500.833333333332</v>
      </c>
    </row>
    <row r="302" spans="1:15" x14ac:dyDescent="0.3">
      <c r="A302" s="10" t="str">
        <v>EMP299</v>
      </c>
      <c r="B302" s="4" t="str">
        <v>Ashwin B</v>
      </c>
      <c r="C302" s="4" t="str">
        <f>_xlfn.XLOOKUP(A302,'EMPLOYEE MASTER DATA'!A302:A601,'EMPLOYEE MASTER DATA'!D302:D601)</f>
        <v>Accounts</v>
      </c>
      <c r="D302" s="4" t="str">
        <f>_xlfn.XLOOKUP(A302,'EMPLOYEE MASTER DATA'!A302:A601,'EMPLOYEE MASTER DATA'!E302:E601)</f>
        <v>Accountant</v>
      </c>
      <c r="E302" s="26">
        <f>_xlfn.XLOOKUP(A302,'EMPLOYEE MASTER DATA'!A302:A601,'EMPLOYEE MASTER DATA'!F302:F601)</f>
        <v>27000</v>
      </c>
      <c r="F302" s="26">
        <f t="shared" si="33"/>
        <v>1125</v>
      </c>
      <c r="G302" s="4">
        <v>19</v>
      </c>
      <c r="H302" s="4">
        <f>_xlfn.XLOOKUP(A302,'MONTHLY ATTENDANCE SUMMARY'!A301:A600,'MONTHLY ATTENDANCE SUMMARY'!F301:F600)</f>
        <v>1</v>
      </c>
      <c r="I302" s="4">
        <f t="shared" si="34"/>
        <v>1</v>
      </c>
      <c r="J302" s="4">
        <f t="shared" si="35"/>
        <v>0</v>
      </c>
      <c r="K302" s="26">
        <f t="shared" si="36"/>
        <v>22500</v>
      </c>
      <c r="L302" s="26">
        <f t="shared" si="32"/>
        <v>3240</v>
      </c>
      <c r="M302" s="26">
        <f t="shared" si="37"/>
        <v>200</v>
      </c>
      <c r="N302" s="26">
        <f t="shared" si="38"/>
        <v>0</v>
      </c>
      <c r="O302" s="27">
        <f t="shared" si="39"/>
        <v>19060</v>
      </c>
    </row>
    <row r="303" spans="1:15" ht="15" thickBot="1" x14ac:dyDescent="0.35">
      <c r="A303" s="28" t="str">
        <v>EMP300</v>
      </c>
      <c r="B303" s="11" t="str">
        <v>Ganesh Narayanan</v>
      </c>
      <c r="C303" s="11" t="str">
        <f>_xlfn.XLOOKUP(A303,'EMPLOYEE MASTER DATA'!A303:A602,'EMPLOYEE MASTER DATA'!D303:D602)</f>
        <v>Maintenance</v>
      </c>
      <c r="D303" s="11" t="str">
        <f>_xlfn.XLOOKUP(A303,'EMPLOYEE MASTER DATA'!A303:A602,'EMPLOYEE MASTER DATA'!E303:E602)</f>
        <v>Maintenance Supervisor</v>
      </c>
      <c r="E303" s="29">
        <f>_xlfn.XLOOKUP(A303,'EMPLOYEE MASTER DATA'!A303:A602,'EMPLOYEE MASTER DATA'!F303:F602)</f>
        <v>42000</v>
      </c>
      <c r="F303" s="29">
        <f t="shared" si="33"/>
        <v>1750</v>
      </c>
      <c r="G303" s="11">
        <v>15</v>
      </c>
      <c r="H303" s="11">
        <f>_xlfn.XLOOKUP(A303,'MONTHLY ATTENDANCE SUMMARY'!A302:A601,'MONTHLY ATTENDANCE SUMMARY'!F302:F601)</f>
        <v>2</v>
      </c>
      <c r="I303" s="11">
        <f t="shared" si="34"/>
        <v>1</v>
      </c>
      <c r="J303" s="11">
        <f t="shared" si="35"/>
        <v>1</v>
      </c>
      <c r="K303" s="29">
        <f t="shared" si="36"/>
        <v>28875</v>
      </c>
      <c r="L303" s="29">
        <f t="shared" si="32"/>
        <v>5040</v>
      </c>
      <c r="M303" s="29">
        <f t="shared" si="37"/>
        <v>200</v>
      </c>
      <c r="N303" s="29">
        <f t="shared" si="38"/>
        <v>0</v>
      </c>
      <c r="O303" s="30">
        <f t="shared" si="39"/>
        <v>23635</v>
      </c>
    </row>
  </sheetData>
  <mergeCells count="5">
    <mergeCell ref="K2:N2"/>
    <mergeCell ref="A1:O1"/>
    <mergeCell ref="E2:F2"/>
    <mergeCell ref="G2:J2"/>
    <mergeCell ref="A2:D2"/>
  </mergeCells>
  <pageMargins left="0.7" right="0.7" top="0.75" bottom="0.75" header="0.3" footer="0.3"/>
  <pageSetup paperSize="9" scale="56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395D-8E05-4317-92C1-2CDD73DB9C45}">
  <dimension ref="A1:J29"/>
  <sheetViews>
    <sheetView zoomScaleNormal="100" workbookViewId="0">
      <selection activeCell="C6" sqref="C6"/>
    </sheetView>
  </sheetViews>
  <sheetFormatPr defaultRowHeight="14.4" x14ac:dyDescent="0.3"/>
  <cols>
    <col min="1" max="1" width="15.44140625" bestFit="1" customWidth="1"/>
    <col min="2" max="2" width="1.5546875" bestFit="1" customWidth="1"/>
    <col min="3" max="3" width="18.33203125" bestFit="1" customWidth="1"/>
    <col min="5" max="5" width="1.5546875" bestFit="1" customWidth="1"/>
    <col min="8" max="8" width="7.6640625" bestFit="1" customWidth="1"/>
    <col min="9" max="9" width="1.5546875" bestFit="1" customWidth="1"/>
  </cols>
  <sheetData>
    <row r="1" spans="1:10" ht="14.4" customHeight="1" thickTop="1" x14ac:dyDescent="0.3">
      <c r="A1" s="85" t="s">
        <v>719</v>
      </c>
      <c r="B1" s="86"/>
      <c r="C1" s="86"/>
      <c r="D1" s="86"/>
      <c r="E1" s="86"/>
      <c r="F1" s="86"/>
      <c r="G1" s="86"/>
      <c r="H1" s="86"/>
      <c r="I1" s="86"/>
      <c r="J1" s="87"/>
    </row>
    <row r="2" spans="1:10" ht="14.4" customHeight="1" x14ac:dyDescent="0.3">
      <c r="A2" s="88"/>
      <c r="B2" s="89"/>
      <c r="C2" s="89"/>
      <c r="D2" s="89"/>
      <c r="E2" s="89"/>
      <c r="F2" s="89"/>
      <c r="G2" s="89"/>
      <c r="H2" s="89"/>
      <c r="I2" s="89"/>
      <c r="J2" s="90"/>
    </row>
    <row r="3" spans="1:10" ht="18" x14ac:dyDescent="0.3">
      <c r="A3" s="91" t="s">
        <v>720</v>
      </c>
      <c r="B3" s="92"/>
      <c r="C3" s="92"/>
      <c r="D3" s="92"/>
      <c r="E3" s="92"/>
      <c r="F3" s="92"/>
      <c r="G3" s="92"/>
      <c r="H3" s="92"/>
      <c r="I3" s="92"/>
      <c r="J3" s="93"/>
    </row>
    <row r="4" spans="1:10" x14ac:dyDescent="0.3">
      <c r="A4" s="94"/>
      <c r="B4" s="95"/>
      <c r="C4" s="95"/>
      <c r="D4" s="95"/>
      <c r="E4" s="95"/>
      <c r="F4" s="95"/>
      <c r="G4" s="95"/>
      <c r="H4" s="95"/>
      <c r="I4" s="95"/>
      <c r="J4" s="96"/>
    </row>
    <row r="5" spans="1:10" x14ac:dyDescent="0.3">
      <c r="A5" s="37" t="s">
        <v>722</v>
      </c>
      <c r="B5" s="33"/>
      <c r="C5" s="34" t="s">
        <v>273</v>
      </c>
      <c r="D5" s="97"/>
      <c r="E5" s="98"/>
      <c r="F5" s="98"/>
      <c r="G5" s="98"/>
      <c r="H5" s="98"/>
      <c r="I5" s="98"/>
      <c r="J5" s="99"/>
    </row>
    <row r="6" spans="1:10" x14ac:dyDescent="0.3">
      <c r="A6" s="37" t="s">
        <v>723</v>
      </c>
      <c r="B6" s="33"/>
      <c r="C6" s="34" t="str">
        <f>_xlfn.XLOOKUP('SALARY SLIP'!C5,'MONTHLY ATTENDANCE SUMMARY'!A3:A302,'MONTHLY ATTENDANCE SUMMARY'!B3:B302," ")</f>
        <v>Deepak K</v>
      </c>
      <c r="D6" s="100"/>
      <c r="E6" s="101"/>
      <c r="F6" s="101"/>
      <c r="G6" s="101"/>
      <c r="H6" s="101"/>
      <c r="I6" s="101"/>
      <c r="J6" s="102"/>
    </row>
    <row r="7" spans="1:10" x14ac:dyDescent="0.3">
      <c r="A7" s="37" t="s">
        <v>724</v>
      </c>
      <c r="B7" s="33"/>
      <c r="C7" s="34" t="str">
        <f>_xlfn.XLOOKUP('SALARY SLIP'!C5,'MONTHLY ATTENDANCE SUMMARY'!A3:A302,'MONTHLY ATTENDANCE SUMMARY'!C3:C302," ")</f>
        <v>Business Development</v>
      </c>
      <c r="D7" s="100"/>
      <c r="E7" s="101"/>
      <c r="F7" s="101"/>
      <c r="G7" s="101"/>
      <c r="H7" s="101"/>
      <c r="I7" s="101"/>
      <c r="J7" s="102"/>
    </row>
    <row r="8" spans="1:10" x14ac:dyDescent="0.3">
      <c r="A8" s="37" t="s">
        <v>725</v>
      </c>
      <c r="B8" s="33"/>
      <c r="C8" s="34" t="str">
        <f>_xlfn.XLOOKUP('SALARY SLIP'!C5,'EMPLOYEE MASTER DATA'!A4:A303,'EMPLOYEE MASTER DATA'!E4:E303," ")</f>
        <v>Growth Executive</v>
      </c>
      <c r="D8" s="103"/>
      <c r="E8" s="104"/>
      <c r="F8" s="104"/>
      <c r="G8" s="104"/>
      <c r="H8" s="104"/>
      <c r="I8" s="104"/>
      <c r="J8" s="105"/>
    </row>
    <row r="9" spans="1:10" x14ac:dyDescent="0.3">
      <c r="A9" s="65"/>
      <c r="B9" s="66"/>
      <c r="C9" s="66"/>
      <c r="D9" s="67"/>
      <c r="E9" s="67"/>
      <c r="F9" s="67"/>
      <c r="G9" s="67"/>
      <c r="H9" s="67"/>
      <c r="I9" s="67"/>
      <c r="J9" s="68"/>
    </row>
    <row r="10" spans="1:10" ht="18" x14ac:dyDescent="0.35">
      <c r="A10" s="62" t="s">
        <v>727</v>
      </c>
      <c r="B10" s="63"/>
      <c r="C10" s="63"/>
      <c r="D10" s="63"/>
      <c r="E10" s="63"/>
      <c r="F10" s="63"/>
      <c r="G10" s="63"/>
      <c r="H10" s="63"/>
      <c r="I10" s="63"/>
      <c r="J10" s="64"/>
    </row>
    <row r="11" spans="1:10" x14ac:dyDescent="0.3">
      <c r="A11" s="38" t="s">
        <v>706</v>
      </c>
      <c r="B11" s="35"/>
      <c r="C11" s="2" cm="1">
        <f t="array" ref="C11">_xlfn.XLOOKUP(C5,PAYROLL!A4:A303,_xlfn.ANCHORARRAY(PAYROLL!G4)," ")</f>
        <v>20</v>
      </c>
      <c r="D11" s="66"/>
      <c r="E11" s="66"/>
      <c r="F11" s="66"/>
      <c r="G11" s="66"/>
      <c r="H11" s="66"/>
      <c r="I11" s="66"/>
      <c r="J11" s="74"/>
    </row>
    <row r="12" spans="1:10" x14ac:dyDescent="0.3">
      <c r="A12" s="38" t="s">
        <v>728</v>
      </c>
      <c r="B12" s="4"/>
      <c r="C12" s="2">
        <f>_xlfn.XLOOKUP(C5,PAYROLL!A4:A303,PAYROLL!H4:H303," ")</f>
        <v>1</v>
      </c>
      <c r="D12" s="66"/>
      <c r="E12" s="66"/>
      <c r="F12" s="66"/>
      <c r="G12" s="66"/>
      <c r="H12" s="66"/>
      <c r="I12" s="66"/>
      <c r="J12" s="74"/>
    </row>
    <row r="13" spans="1:10" x14ac:dyDescent="0.3">
      <c r="A13" s="73"/>
      <c r="B13" s="66"/>
      <c r="C13" s="66"/>
      <c r="D13" s="66"/>
      <c r="E13" s="66"/>
      <c r="F13" s="66"/>
      <c r="G13" s="66"/>
      <c r="H13" s="66"/>
      <c r="I13" s="66"/>
      <c r="J13" s="74"/>
    </row>
    <row r="14" spans="1:10" ht="18" x14ac:dyDescent="0.3">
      <c r="A14" s="59" t="s">
        <v>721</v>
      </c>
      <c r="B14" s="60"/>
      <c r="C14" s="60"/>
      <c r="D14" s="60"/>
      <c r="E14" s="60"/>
      <c r="F14" s="60"/>
      <c r="G14" s="60"/>
      <c r="H14" s="60"/>
      <c r="I14" s="60"/>
      <c r="J14" s="61"/>
    </row>
    <row r="15" spans="1:10" x14ac:dyDescent="0.3">
      <c r="A15" s="71" t="s">
        <v>688</v>
      </c>
      <c r="B15" s="72"/>
      <c r="C15" s="72"/>
      <c r="D15" s="72"/>
      <c r="E15" s="4"/>
      <c r="F15" s="69">
        <f>_xlfn.XLOOKUP(C5,PAYROLL!A4:A303,PAYROLL!E4:E303," ")</f>
        <v>44500</v>
      </c>
      <c r="G15" s="69"/>
      <c r="H15" s="69"/>
      <c r="I15" s="69"/>
      <c r="J15" s="70"/>
    </row>
    <row r="16" spans="1:10" x14ac:dyDescent="0.3">
      <c r="A16" s="71" t="s">
        <v>707</v>
      </c>
      <c r="B16" s="72"/>
      <c r="C16" s="72"/>
      <c r="D16" s="72"/>
      <c r="E16" s="4"/>
      <c r="F16" s="69">
        <f>_xlfn.XLOOKUP(C5,PAYROLL!A4:A303,PAYROLL!K4:K303," ")</f>
        <v>38937.5</v>
      </c>
      <c r="G16" s="69"/>
      <c r="H16" s="69"/>
      <c r="I16" s="69"/>
      <c r="J16" s="70"/>
    </row>
    <row r="17" spans="1:10" x14ac:dyDescent="0.3">
      <c r="A17" s="73"/>
      <c r="B17" s="66"/>
      <c r="C17" s="66"/>
      <c r="D17" s="66"/>
      <c r="E17" s="66"/>
      <c r="F17" s="66"/>
      <c r="G17" s="66"/>
      <c r="H17" s="66"/>
      <c r="I17" s="66"/>
      <c r="J17" s="74"/>
    </row>
    <row r="18" spans="1:10" ht="18" x14ac:dyDescent="0.35">
      <c r="A18" s="62" t="s">
        <v>729</v>
      </c>
      <c r="B18" s="63"/>
      <c r="C18" s="63"/>
      <c r="D18" s="63"/>
      <c r="E18" s="63"/>
      <c r="F18" s="63"/>
      <c r="G18" s="63"/>
      <c r="H18" s="63"/>
      <c r="I18" s="63"/>
      <c r="J18" s="64"/>
    </row>
    <row r="19" spans="1:10" x14ac:dyDescent="0.3">
      <c r="A19" s="73" t="s">
        <v>708</v>
      </c>
      <c r="B19" s="66"/>
      <c r="C19" s="66"/>
      <c r="D19" s="66"/>
      <c r="E19" s="4"/>
      <c r="F19" s="69">
        <f>_xlfn.XLOOKUP('SALARY SLIP'!C5,PAYROLL!A4:A303,PAYROLL!L4:L303)</f>
        <v>5340</v>
      </c>
      <c r="G19" s="69"/>
      <c r="H19" s="69"/>
      <c r="I19" s="69"/>
      <c r="J19" s="70"/>
    </row>
    <row r="20" spans="1:10" x14ac:dyDescent="0.3">
      <c r="A20" s="73" t="s">
        <v>710</v>
      </c>
      <c r="B20" s="66"/>
      <c r="C20" s="66"/>
      <c r="D20" s="66"/>
      <c r="E20" s="4"/>
      <c r="F20" s="69">
        <f>_xlfn.XLOOKUP(C5,PAYROLL!A4:A303,PAYROLL!M4:M303,"-")</f>
        <v>200</v>
      </c>
      <c r="G20" s="69"/>
      <c r="H20" s="69"/>
      <c r="I20" s="69"/>
      <c r="J20" s="70"/>
    </row>
    <row r="21" spans="1:10" x14ac:dyDescent="0.3">
      <c r="A21" s="73" t="s">
        <v>711</v>
      </c>
      <c r="B21" s="66"/>
      <c r="C21" s="66"/>
      <c r="D21" s="66"/>
      <c r="E21" s="4"/>
      <c r="F21" s="69">
        <f>_xlfn.XLOOKUP(C5,PAYROLL!A4:A303,PAYROLL!N4:N303,"-")</f>
        <v>0</v>
      </c>
      <c r="G21" s="69"/>
      <c r="H21" s="69"/>
      <c r="I21" s="69"/>
      <c r="J21" s="70"/>
    </row>
    <row r="22" spans="1:10" x14ac:dyDescent="0.3">
      <c r="A22" s="73"/>
      <c r="B22" s="66"/>
      <c r="C22" s="66"/>
      <c r="D22" s="66"/>
      <c r="E22" s="66"/>
      <c r="F22" s="66"/>
      <c r="G22" s="66"/>
      <c r="H22" s="66"/>
      <c r="I22" s="66"/>
      <c r="J22" s="74"/>
    </row>
    <row r="23" spans="1:10" ht="18" x14ac:dyDescent="0.35">
      <c r="A23" s="83" t="s">
        <v>726</v>
      </c>
      <c r="B23" s="84"/>
      <c r="C23" s="84"/>
      <c r="D23" s="84"/>
      <c r="E23" s="36"/>
      <c r="F23" s="81">
        <f>_xlfn.XLOOKUP(C5,PAYROLL!A4:A303,PAYROLL!O4:O303)</f>
        <v>33397.5</v>
      </c>
      <c r="G23" s="81"/>
      <c r="H23" s="81"/>
      <c r="I23" s="81"/>
      <c r="J23" s="82"/>
    </row>
    <row r="24" spans="1:10" x14ac:dyDescent="0.3">
      <c r="A24" s="75" t="s">
        <v>730</v>
      </c>
      <c r="B24" s="76"/>
      <c r="C24" s="76"/>
      <c r="D24" s="76"/>
      <c r="E24" s="76"/>
      <c r="F24" s="76"/>
      <c r="G24" s="76"/>
      <c r="H24" s="76"/>
      <c r="I24" s="76"/>
      <c r="J24" s="77"/>
    </row>
    <row r="25" spans="1:10" ht="15" thickBot="1" x14ac:dyDescent="0.35">
      <c r="A25" s="78"/>
      <c r="B25" s="79"/>
      <c r="C25" s="79"/>
      <c r="D25" s="79"/>
      <c r="E25" s="79"/>
      <c r="F25" s="79"/>
      <c r="G25" s="79"/>
      <c r="H25" s="79"/>
      <c r="I25" s="79"/>
      <c r="J25" s="80"/>
    </row>
    <row r="26" spans="1:10" ht="15" thickTop="1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spans="1:10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spans="1:10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</row>
  </sheetData>
  <mergeCells count="25">
    <mergeCell ref="A1:J2"/>
    <mergeCell ref="A3:J3"/>
    <mergeCell ref="A10:J10"/>
    <mergeCell ref="A13:J13"/>
    <mergeCell ref="A4:J4"/>
    <mergeCell ref="D5:J8"/>
    <mergeCell ref="A24:J25"/>
    <mergeCell ref="F23:J23"/>
    <mergeCell ref="A23:D23"/>
    <mergeCell ref="F19:J19"/>
    <mergeCell ref="F20:J20"/>
    <mergeCell ref="F21:J21"/>
    <mergeCell ref="A19:D19"/>
    <mergeCell ref="A17:J17"/>
    <mergeCell ref="A22:J22"/>
    <mergeCell ref="A20:D20"/>
    <mergeCell ref="A21:D21"/>
    <mergeCell ref="A14:J14"/>
    <mergeCell ref="A18:J18"/>
    <mergeCell ref="A9:J9"/>
    <mergeCell ref="F15:J15"/>
    <mergeCell ref="F16:J16"/>
    <mergeCell ref="A15:D15"/>
    <mergeCell ref="A16:D16"/>
    <mergeCell ref="D11:J12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E4B8-8B69-4AE7-A535-D7E8EDBA17FB}">
  <dimension ref="A1:E28"/>
  <sheetViews>
    <sheetView zoomScaleNormal="100" workbookViewId="0">
      <selection activeCell="B49" sqref="B49"/>
    </sheetView>
  </sheetViews>
  <sheetFormatPr defaultRowHeight="14.4" x14ac:dyDescent="0.3"/>
  <cols>
    <col min="1" max="1" width="22.88671875" bestFit="1" customWidth="1"/>
    <col min="2" max="2" width="24.5546875" customWidth="1"/>
    <col min="3" max="3" width="24.5546875" bestFit="1" customWidth="1"/>
    <col min="4" max="4" width="22.88671875" bestFit="1" customWidth="1"/>
    <col min="5" max="5" width="25.77734375" bestFit="1" customWidth="1"/>
    <col min="8" max="8" width="19.5546875" bestFit="1" customWidth="1"/>
    <col min="9" max="9" width="25.77734375" bestFit="1" customWidth="1"/>
  </cols>
  <sheetData>
    <row r="1" spans="1:5" ht="18" x14ac:dyDescent="0.3">
      <c r="A1" s="106" t="s">
        <v>745</v>
      </c>
      <c r="B1" s="106"/>
      <c r="D1" s="106" t="s">
        <v>746</v>
      </c>
      <c r="E1" s="106"/>
    </row>
    <row r="2" spans="1:5" x14ac:dyDescent="0.3">
      <c r="A2" s="42" t="s">
        <v>739</v>
      </c>
      <c r="B2" s="4" t="s">
        <v>741</v>
      </c>
      <c r="D2" s="42" t="s">
        <v>739</v>
      </c>
      <c r="E2" s="26" t="s">
        <v>743</v>
      </c>
    </row>
    <row r="3" spans="1:5" x14ac:dyDescent="0.3">
      <c r="A3" s="34" t="s">
        <v>37</v>
      </c>
      <c r="B3" s="43">
        <v>32</v>
      </c>
      <c r="D3" s="34" t="s">
        <v>37</v>
      </c>
      <c r="E3" s="26">
        <v>1318895.8333333335</v>
      </c>
    </row>
    <row r="4" spans="1:5" x14ac:dyDescent="0.3">
      <c r="A4" s="34" t="s">
        <v>29</v>
      </c>
      <c r="B4" s="43">
        <v>26</v>
      </c>
      <c r="D4" s="34" t="s">
        <v>29</v>
      </c>
      <c r="E4" s="26">
        <v>685739.58333333326</v>
      </c>
    </row>
    <row r="5" spans="1:5" x14ac:dyDescent="0.3">
      <c r="A5" s="34" t="s">
        <v>118</v>
      </c>
      <c r="B5" s="43">
        <v>22</v>
      </c>
      <c r="D5" s="34" t="s">
        <v>118</v>
      </c>
      <c r="E5" s="26">
        <v>667739.58333333337</v>
      </c>
    </row>
    <row r="6" spans="1:5" x14ac:dyDescent="0.3">
      <c r="A6" s="34" t="s">
        <v>16</v>
      </c>
      <c r="B6" s="43">
        <v>25</v>
      </c>
      <c r="D6" s="34" t="s">
        <v>16</v>
      </c>
      <c r="E6" s="26">
        <v>1013499.9999999999</v>
      </c>
    </row>
    <row r="7" spans="1:5" x14ac:dyDescent="0.3">
      <c r="A7" s="34" t="s">
        <v>112</v>
      </c>
      <c r="B7" s="43">
        <v>21</v>
      </c>
      <c r="D7" s="34" t="s">
        <v>112</v>
      </c>
      <c r="E7" s="26">
        <v>575104.16666666663</v>
      </c>
    </row>
    <row r="8" spans="1:5" x14ac:dyDescent="0.3">
      <c r="A8" s="34" t="s">
        <v>21</v>
      </c>
      <c r="B8" s="43">
        <v>22</v>
      </c>
      <c r="D8" s="34" t="s">
        <v>21</v>
      </c>
      <c r="E8" s="26">
        <v>546937.5</v>
      </c>
    </row>
    <row r="9" spans="1:5" x14ac:dyDescent="0.3">
      <c r="A9" s="34" t="s">
        <v>82</v>
      </c>
      <c r="B9" s="43">
        <v>16</v>
      </c>
      <c r="D9" s="34" t="s">
        <v>82</v>
      </c>
      <c r="E9" s="26">
        <v>571093.75000000012</v>
      </c>
    </row>
    <row r="10" spans="1:5" x14ac:dyDescent="0.3">
      <c r="A10" s="34" t="s">
        <v>61</v>
      </c>
      <c r="B10" s="43">
        <v>19</v>
      </c>
      <c r="D10" s="34" t="s">
        <v>61</v>
      </c>
      <c r="E10" s="26">
        <v>903697.91666666674</v>
      </c>
    </row>
    <row r="11" spans="1:5" x14ac:dyDescent="0.3">
      <c r="A11" s="34" t="s">
        <v>77</v>
      </c>
      <c r="B11" s="43">
        <v>36</v>
      </c>
      <c r="D11" s="34" t="s">
        <v>77</v>
      </c>
      <c r="E11" s="26">
        <v>1546385.4166666667</v>
      </c>
    </row>
    <row r="12" spans="1:5" x14ac:dyDescent="0.3">
      <c r="A12" s="34" t="s">
        <v>47</v>
      </c>
      <c r="B12" s="43">
        <v>19</v>
      </c>
      <c r="D12" s="34" t="s">
        <v>47</v>
      </c>
      <c r="E12" s="26">
        <v>742958.33333333326</v>
      </c>
    </row>
    <row r="13" spans="1:5" x14ac:dyDescent="0.3">
      <c r="A13" s="34" t="s">
        <v>8</v>
      </c>
      <c r="B13" s="43">
        <v>33</v>
      </c>
      <c r="D13" s="34" t="s">
        <v>8</v>
      </c>
      <c r="E13" s="26">
        <v>1377614.5833333335</v>
      </c>
    </row>
    <row r="14" spans="1:5" x14ac:dyDescent="0.3">
      <c r="A14" s="34" t="s">
        <v>42</v>
      </c>
      <c r="B14" s="43">
        <v>29</v>
      </c>
      <c r="D14" s="34" t="s">
        <v>42</v>
      </c>
      <c r="E14" s="26">
        <v>1067885.4166666665</v>
      </c>
    </row>
    <row r="15" spans="1:5" x14ac:dyDescent="0.3">
      <c r="A15" s="34" t="s">
        <v>740</v>
      </c>
      <c r="B15" s="43">
        <v>300</v>
      </c>
      <c r="D15" s="34" t="s">
        <v>740</v>
      </c>
      <c r="E15" s="26">
        <v>11017552.083333334</v>
      </c>
    </row>
    <row r="17" spans="1:5" ht="18" x14ac:dyDescent="0.35">
      <c r="A17" s="107" t="s">
        <v>747</v>
      </c>
      <c r="B17" s="107"/>
      <c r="D17" s="106" t="s">
        <v>748</v>
      </c>
      <c r="E17" s="106"/>
    </row>
    <row r="18" spans="1:5" x14ac:dyDescent="0.3">
      <c r="A18" s="42" t="s">
        <v>690</v>
      </c>
      <c r="B18" s="4" t="s">
        <v>743</v>
      </c>
      <c r="D18" s="34" t="s">
        <v>694</v>
      </c>
      <c r="E18" s="4" t="s">
        <v>744</v>
      </c>
    </row>
    <row r="19" spans="1:5" x14ac:dyDescent="0.3">
      <c r="A19" s="4" t="s">
        <v>164</v>
      </c>
      <c r="B19" s="26">
        <v>72656.25</v>
      </c>
      <c r="D19" s="34" t="s">
        <v>698</v>
      </c>
      <c r="E19" s="44">
        <f>'HR MIS DASHBOARD'!D5</f>
        <v>0.83152777777777664</v>
      </c>
    </row>
    <row r="20" spans="1:5" x14ac:dyDescent="0.3">
      <c r="A20" s="4" t="s">
        <v>194</v>
      </c>
      <c r="B20" s="26">
        <v>72875</v>
      </c>
      <c r="D20" s="34" t="s">
        <v>699</v>
      </c>
      <c r="E20" s="44">
        <f>'HR MIS DASHBOARD'!G5</f>
        <v>9.2274678111587988E-2</v>
      </c>
    </row>
    <row r="21" spans="1:5" x14ac:dyDescent="0.3">
      <c r="A21" s="4" t="s">
        <v>181</v>
      </c>
      <c r="B21" s="26">
        <v>72947.916666666657</v>
      </c>
      <c r="D21" s="34" t="s">
        <v>700</v>
      </c>
      <c r="E21" s="44">
        <f>'HR MIS DASHBOARD'!J5</f>
        <v>3.6712272442972482E-2</v>
      </c>
    </row>
    <row r="22" spans="1:5" x14ac:dyDescent="0.3">
      <c r="A22" s="4" t="s">
        <v>202</v>
      </c>
      <c r="B22" s="26">
        <v>75708.333333333328</v>
      </c>
      <c r="D22" s="34" t="s">
        <v>701</v>
      </c>
      <c r="E22" s="44">
        <f>1-SUM(E19:E21)</f>
        <v>3.9485271667662913E-2</v>
      </c>
    </row>
    <row r="23" spans="1:5" x14ac:dyDescent="0.3">
      <c r="A23" s="4" t="s">
        <v>232</v>
      </c>
      <c r="B23" s="26">
        <v>77083.333333333328</v>
      </c>
    </row>
    <row r="24" spans="1:5" x14ac:dyDescent="0.3">
      <c r="A24" s="4" t="s">
        <v>339</v>
      </c>
      <c r="B24" s="26">
        <v>79218.75</v>
      </c>
    </row>
    <row r="25" spans="1:5" x14ac:dyDescent="0.3">
      <c r="A25" s="4" t="s">
        <v>205</v>
      </c>
      <c r="B25" s="26">
        <v>83854.166666666672</v>
      </c>
    </row>
    <row r="26" spans="1:5" x14ac:dyDescent="0.3">
      <c r="A26" s="4" t="s">
        <v>375</v>
      </c>
      <c r="B26" s="26">
        <v>83906.25</v>
      </c>
    </row>
    <row r="27" spans="1:5" x14ac:dyDescent="0.3">
      <c r="A27" s="4" t="s">
        <v>258</v>
      </c>
      <c r="B27" s="26">
        <v>88125</v>
      </c>
    </row>
    <row r="28" spans="1:5" x14ac:dyDescent="0.3">
      <c r="A28" s="4" t="s">
        <v>476</v>
      </c>
      <c r="B28" s="26">
        <v>88166.666666666672</v>
      </c>
    </row>
  </sheetData>
  <mergeCells count="4">
    <mergeCell ref="A1:B1"/>
    <mergeCell ref="D1:E1"/>
    <mergeCell ref="A17:B17"/>
    <mergeCell ref="D17:E17"/>
  </mergeCells>
  <pageMargins left="0.7" right="0.7" top="0.75" bottom="0.75" header="0.3" footer="0.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B9CB-51E2-4A13-BA25-356D57C6EA9A}">
  <dimension ref="A1:L10"/>
  <sheetViews>
    <sheetView tabSelected="1" zoomScale="55" zoomScaleNormal="55" workbookViewId="0">
      <selection activeCell="U8" sqref="U8"/>
    </sheetView>
  </sheetViews>
  <sheetFormatPr defaultRowHeight="14.4" x14ac:dyDescent="0.3"/>
  <sheetData>
    <row r="1" spans="1:12" ht="24" thickBot="1" x14ac:dyDescent="0.35">
      <c r="A1" s="108" t="s">
        <v>719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/>
    </row>
    <row r="2" spans="1:12" ht="18.600000000000001" thickBot="1" x14ac:dyDescent="0.35">
      <c r="A2" s="111" t="s">
        <v>731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3"/>
    </row>
    <row r="3" spans="1:12" ht="15" thickBot="1" x14ac:dyDescent="0.35">
      <c r="A3" s="114" t="s">
        <v>732</v>
      </c>
      <c r="B3" s="115"/>
      <c r="C3" s="115"/>
      <c r="D3" s="115" t="s">
        <v>733</v>
      </c>
      <c r="E3" s="115"/>
      <c r="F3" s="115"/>
      <c r="G3" s="115" t="s">
        <v>812</v>
      </c>
      <c r="H3" s="115"/>
      <c r="I3" s="115"/>
      <c r="J3" s="115" t="s">
        <v>734</v>
      </c>
      <c r="K3" s="115"/>
      <c r="L3" s="119"/>
    </row>
    <row r="4" spans="1:12" ht="14.4" customHeight="1" thickBot="1" x14ac:dyDescent="0.3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9"/>
    </row>
    <row r="5" spans="1:12" ht="15" thickBot="1" x14ac:dyDescent="0.35">
      <c r="A5" s="116">
        <f>COUNTA('EMPLOYEE MASTER DATA'!A4:A303)</f>
        <v>300</v>
      </c>
      <c r="B5" s="117"/>
      <c r="C5" s="117"/>
      <c r="D5" s="118">
        <f>AVERAGE('MONTHLY ATTENDANCE SUMMARY'!I3:I302)</f>
        <v>0.83152777777777664</v>
      </c>
      <c r="E5" s="118"/>
      <c r="F5" s="118"/>
      <c r="G5" s="118">
        <f>SUM('MONTHLY ATTENDANCE SUMMARY'!E3:E302)/(SUM('MONTHLY ATTENDANCE SUMMARY'!D3:D302)+SUM('MONTHLY ATTENDANCE SUMMARY'!E3:E302)+SUM('MONTHLY ATTENDANCE SUMMARY'!F3:F302)+SUM('MONTHLY ATTENDANCE SUMMARY'!G6:G302))</f>
        <v>9.2274678111587988E-2</v>
      </c>
      <c r="H5" s="118"/>
      <c r="I5" s="118"/>
      <c r="J5" s="118">
        <f>SUM('MONTHLY ATTENDANCE SUMMARY'!F3:F302)/(SUM('MONTHLY ATTENDANCE SUMMARY'!D3:D302)+SUM('MONTHLY ATTENDANCE SUMMARY'!E3:E302)+SUM('MONTHLY ATTENDANCE SUMMARY'!F3:IF302)+SUM('MONTHLY ATTENDANCE SUMMARY'!G6:G302))</f>
        <v>3.6712272442972482E-2</v>
      </c>
      <c r="K5" s="118"/>
      <c r="L5" s="120"/>
    </row>
    <row r="6" spans="1:12" ht="15" thickBot="1" x14ac:dyDescent="0.35">
      <c r="A6" s="116"/>
      <c r="B6" s="117"/>
      <c r="C6" s="117"/>
      <c r="D6" s="118"/>
      <c r="E6" s="118"/>
      <c r="F6" s="118"/>
      <c r="G6" s="118"/>
      <c r="H6" s="118"/>
      <c r="I6" s="118"/>
      <c r="J6" s="118"/>
      <c r="K6" s="118"/>
      <c r="L6" s="120"/>
    </row>
    <row r="7" spans="1:12" ht="15" thickBot="1" x14ac:dyDescent="0.35">
      <c r="A7" s="127" t="s">
        <v>735</v>
      </c>
      <c r="B7" s="128"/>
      <c r="C7" s="128"/>
      <c r="D7" s="129" t="s">
        <v>736</v>
      </c>
      <c r="E7" s="129"/>
      <c r="F7" s="129"/>
      <c r="G7" s="129" t="s">
        <v>738</v>
      </c>
      <c r="H7" s="129"/>
      <c r="I7" s="129"/>
      <c r="J7" s="129" t="s">
        <v>737</v>
      </c>
      <c r="K7" s="129"/>
      <c r="L7" s="130"/>
    </row>
    <row r="8" spans="1:12" ht="15" thickBot="1" x14ac:dyDescent="0.35">
      <c r="A8" s="127"/>
      <c r="B8" s="128"/>
      <c r="C8" s="128"/>
      <c r="D8" s="129"/>
      <c r="E8" s="129"/>
      <c r="F8" s="129"/>
      <c r="G8" s="129"/>
      <c r="H8" s="129"/>
      <c r="I8" s="129"/>
      <c r="J8" s="129"/>
      <c r="K8" s="129"/>
      <c r="L8" s="130"/>
    </row>
    <row r="9" spans="1:12" ht="15" thickBot="1" x14ac:dyDescent="0.35">
      <c r="A9" s="121">
        <f>SUM(PAYROLL!K4:K303)</f>
        <v>11017552.083333332</v>
      </c>
      <c r="B9" s="122"/>
      <c r="C9" s="122"/>
      <c r="D9" s="122">
        <f>SUM(PAYROLL!O4:O303)</f>
        <v>9460739.8177083321</v>
      </c>
      <c r="E9" s="122"/>
      <c r="F9" s="122"/>
      <c r="G9" s="122">
        <f>AVERAGE(PAYROLL!K4:K303)</f>
        <v>36725.173611111109</v>
      </c>
      <c r="H9" s="122"/>
      <c r="I9" s="122"/>
      <c r="J9" s="122">
        <f>SUM(PAYROLL!L4:L303)</f>
        <v>1497780</v>
      </c>
      <c r="K9" s="122"/>
      <c r="L9" s="125"/>
    </row>
    <row r="10" spans="1:12" ht="15" thickBot="1" x14ac:dyDescent="0.35">
      <c r="A10" s="123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6"/>
    </row>
  </sheetData>
  <mergeCells count="18">
    <mergeCell ref="A9:C10"/>
    <mergeCell ref="D9:F10"/>
    <mergeCell ref="G9:I10"/>
    <mergeCell ref="J9:L10"/>
    <mergeCell ref="A7:C8"/>
    <mergeCell ref="D7:F8"/>
    <mergeCell ref="G7:I8"/>
    <mergeCell ref="J7:L8"/>
    <mergeCell ref="A1:L1"/>
    <mergeCell ref="A2:L2"/>
    <mergeCell ref="A3:C4"/>
    <mergeCell ref="A5:C6"/>
    <mergeCell ref="D3:F4"/>
    <mergeCell ref="D5:F6"/>
    <mergeCell ref="G3:I4"/>
    <mergeCell ref="G5:I6"/>
    <mergeCell ref="J3:L4"/>
    <mergeCell ref="J5:L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4854-FECD-4260-9662-AA6844C3FD38}">
  <dimension ref="A1:H91"/>
  <sheetViews>
    <sheetView topLeftCell="A44" zoomScaleNormal="100" workbookViewId="0">
      <selection activeCell="M43" sqref="M43"/>
    </sheetView>
  </sheetViews>
  <sheetFormatPr defaultRowHeight="14.4" x14ac:dyDescent="0.3"/>
  <sheetData>
    <row r="1" spans="1:8" x14ac:dyDescent="0.3">
      <c r="A1" s="32"/>
      <c r="B1" s="32"/>
      <c r="C1" s="32"/>
      <c r="D1" s="32"/>
      <c r="E1" s="32"/>
      <c r="F1" s="32"/>
    </row>
    <row r="2" spans="1:8" ht="28.8" x14ac:dyDescent="0.3">
      <c r="B2" s="131" t="s">
        <v>749</v>
      </c>
      <c r="C2" s="132"/>
      <c r="D2" s="132"/>
      <c r="E2" s="132"/>
      <c r="F2" s="132"/>
      <c r="G2" s="132"/>
      <c r="H2" s="133"/>
    </row>
    <row r="3" spans="1:8" x14ac:dyDescent="0.3">
      <c r="B3" s="140"/>
      <c r="C3" s="141"/>
      <c r="D3" s="141"/>
      <c r="E3" s="141"/>
      <c r="F3" s="141"/>
      <c r="G3" s="141"/>
      <c r="H3" s="142"/>
    </row>
    <row r="4" spans="1:8" ht="14.4" customHeight="1" x14ac:dyDescent="0.3">
      <c r="B4" s="134" t="s">
        <v>750</v>
      </c>
      <c r="C4" s="135"/>
      <c r="D4" s="135"/>
      <c r="E4" s="135"/>
      <c r="F4" s="135"/>
      <c r="G4" s="135"/>
      <c r="H4" s="136"/>
    </row>
    <row r="5" spans="1:8" x14ac:dyDescent="0.3">
      <c r="B5" s="137" t="s">
        <v>751</v>
      </c>
      <c r="C5" s="138"/>
      <c r="D5" s="138"/>
      <c r="E5" s="138"/>
      <c r="F5" s="138"/>
      <c r="G5" s="138"/>
      <c r="H5" s="139"/>
    </row>
    <row r="6" spans="1:8" x14ac:dyDescent="0.3">
      <c r="B6" s="137"/>
      <c r="C6" s="138"/>
      <c r="D6" s="138"/>
      <c r="E6" s="138"/>
      <c r="F6" s="138"/>
      <c r="G6" s="138"/>
      <c r="H6" s="139"/>
    </row>
    <row r="7" spans="1:8" x14ac:dyDescent="0.3">
      <c r="B7" s="137"/>
      <c r="C7" s="138"/>
      <c r="D7" s="138"/>
      <c r="E7" s="138"/>
      <c r="F7" s="138"/>
      <c r="G7" s="138"/>
      <c r="H7" s="139"/>
    </row>
    <row r="8" spans="1:8" x14ac:dyDescent="0.3">
      <c r="B8" s="152"/>
      <c r="C8" s="153"/>
      <c r="D8" s="153"/>
      <c r="E8" s="153"/>
      <c r="F8" s="153"/>
      <c r="G8" s="153"/>
      <c r="H8" s="154"/>
    </row>
    <row r="9" spans="1:8" ht="15.6" x14ac:dyDescent="0.3">
      <c r="B9" s="134" t="s">
        <v>752</v>
      </c>
      <c r="C9" s="135"/>
      <c r="D9" s="135"/>
      <c r="E9" s="135"/>
      <c r="F9" s="135"/>
      <c r="G9" s="135"/>
      <c r="H9" s="136"/>
    </row>
    <row r="10" spans="1:8" x14ac:dyDescent="0.3">
      <c r="B10" s="143" t="s">
        <v>753</v>
      </c>
      <c r="C10" s="144"/>
      <c r="D10" s="144"/>
      <c r="E10" s="144"/>
      <c r="F10" s="144"/>
      <c r="G10" s="144"/>
      <c r="H10" s="145"/>
    </row>
    <row r="11" spans="1:8" x14ac:dyDescent="0.3">
      <c r="B11" s="143" t="s">
        <v>754</v>
      </c>
      <c r="C11" s="144"/>
      <c r="D11" s="144"/>
      <c r="E11" s="144"/>
      <c r="F11" s="144"/>
      <c r="G11" s="144"/>
      <c r="H11" s="145"/>
    </row>
    <row r="12" spans="1:8" x14ac:dyDescent="0.3">
      <c r="B12" s="143" t="s">
        <v>755</v>
      </c>
      <c r="C12" s="144"/>
      <c r="D12" s="144"/>
      <c r="E12" s="144"/>
      <c r="F12" s="144"/>
      <c r="G12" s="144"/>
      <c r="H12" s="145"/>
    </row>
    <row r="13" spans="1:8" x14ac:dyDescent="0.3">
      <c r="B13" s="143" t="s">
        <v>756</v>
      </c>
      <c r="C13" s="144"/>
      <c r="D13" s="144"/>
      <c r="E13" s="144"/>
      <c r="F13" s="144"/>
      <c r="G13" s="144"/>
      <c r="H13" s="145"/>
    </row>
    <row r="14" spans="1:8" x14ac:dyDescent="0.3">
      <c r="B14" s="143" t="s">
        <v>757</v>
      </c>
      <c r="C14" s="144"/>
      <c r="D14" s="144"/>
      <c r="E14" s="144"/>
      <c r="F14" s="144"/>
      <c r="G14" s="144"/>
      <c r="H14" s="145"/>
    </row>
    <row r="15" spans="1:8" x14ac:dyDescent="0.3">
      <c r="B15" s="143" t="s">
        <v>758</v>
      </c>
      <c r="C15" s="144"/>
      <c r="D15" s="144"/>
      <c r="E15" s="144"/>
      <c r="F15" s="144"/>
      <c r="G15" s="144"/>
      <c r="H15" s="145"/>
    </row>
    <row r="16" spans="1:8" x14ac:dyDescent="0.3">
      <c r="B16" s="143" t="s">
        <v>759</v>
      </c>
      <c r="C16" s="144"/>
      <c r="D16" s="144"/>
      <c r="E16" s="144"/>
      <c r="F16" s="144"/>
      <c r="G16" s="144"/>
      <c r="H16" s="145"/>
    </row>
    <row r="17" spans="2:8" x14ac:dyDescent="0.3">
      <c r="B17" s="143" t="s">
        <v>760</v>
      </c>
      <c r="C17" s="144"/>
      <c r="D17" s="144"/>
      <c r="E17" s="144"/>
      <c r="F17" s="144"/>
      <c r="G17" s="144"/>
      <c r="H17" s="145"/>
    </row>
    <row r="18" spans="2:8" x14ac:dyDescent="0.3">
      <c r="B18" s="143" t="s">
        <v>761</v>
      </c>
      <c r="C18" s="144"/>
      <c r="D18" s="144"/>
      <c r="E18" s="144"/>
      <c r="F18" s="144"/>
      <c r="G18" s="144"/>
      <c r="H18" s="145"/>
    </row>
    <row r="19" spans="2:8" x14ac:dyDescent="0.3">
      <c r="B19" s="143" t="s">
        <v>762</v>
      </c>
      <c r="C19" s="144"/>
      <c r="D19" s="144"/>
      <c r="E19" s="144"/>
      <c r="F19" s="144"/>
      <c r="G19" s="144"/>
      <c r="H19" s="145"/>
    </row>
    <row r="20" spans="2:8" x14ac:dyDescent="0.3">
      <c r="B20" s="143" t="s">
        <v>763</v>
      </c>
      <c r="C20" s="144"/>
      <c r="D20" s="144"/>
      <c r="E20" s="144"/>
      <c r="F20" s="144"/>
      <c r="G20" s="144"/>
      <c r="H20" s="145"/>
    </row>
    <row r="21" spans="2:8" x14ac:dyDescent="0.3">
      <c r="B21" s="143" t="s">
        <v>764</v>
      </c>
      <c r="C21" s="144"/>
      <c r="D21" s="144"/>
      <c r="E21" s="144"/>
      <c r="F21" s="144"/>
      <c r="G21" s="144"/>
      <c r="H21" s="145"/>
    </row>
    <row r="22" spans="2:8" x14ac:dyDescent="0.3">
      <c r="B22" s="140"/>
      <c r="C22" s="141"/>
      <c r="D22" s="141"/>
      <c r="E22" s="141"/>
      <c r="F22" s="141"/>
      <c r="G22" s="141"/>
      <c r="H22" s="142"/>
    </row>
    <row r="23" spans="2:8" ht="15.6" x14ac:dyDescent="0.3">
      <c r="B23" s="134" t="s">
        <v>765</v>
      </c>
      <c r="C23" s="135"/>
      <c r="D23" s="135"/>
      <c r="E23" s="135"/>
      <c r="F23" s="135"/>
      <c r="G23" s="135"/>
      <c r="H23" s="136"/>
    </row>
    <row r="24" spans="2:8" x14ac:dyDescent="0.3">
      <c r="B24" s="143" t="s">
        <v>766</v>
      </c>
      <c r="C24" s="144"/>
      <c r="D24" s="144"/>
      <c r="E24" s="144"/>
      <c r="F24" s="144"/>
      <c r="G24" s="144"/>
      <c r="H24" s="145"/>
    </row>
    <row r="25" spans="2:8" x14ac:dyDescent="0.3">
      <c r="B25" s="146" t="s">
        <v>767</v>
      </c>
      <c r="C25" s="147"/>
      <c r="D25" s="147"/>
      <c r="E25" s="147"/>
      <c r="F25" s="147"/>
      <c r="G25" s="147"/>
      <c r="H25" s="148"/>
    </row>
    <row r="26" spans="2:8" x14ac:dyDescent="0.3">
      <c r="B26" s="146" t="s">
        <v>768</v>
      </c>
      <c r="C26" s="147"/>
      <c r="D26" s="147"/>
      <c r="E26" s="147"/>
      <c r="F26" s="147"/>
      <c r="G26" s="147"/>
      <c r="H26" s="148"/>
    </row>
    <row r="27" spans="2:8" x14ac:dyDescent="0.3">
      <c r="B27" s="146" t="s">
        <v>769</v>
      </c>
      <c r="C27" s="147"/>
      <c r="D27" s="147"/>
      <c r="E27" s="147"/>
      <c r="F27" s="147"/>
      <c r="G27" s="147"/>
      <c r="H27" s="148"/>
    </row>
    <row r="28" spans="2:8" x14ac:dyDescent="0.3">
      <c r="B28" s="146" t="s">
        <v>770</v>
      </c>
      <c r="C28" s="147"/>
      <c r="D28" s="147"/>
      <c r="E28" s="147"/>
      <c r="F28" s="147"/>
      <c r="G28" s="147"/>
      <c r="H28" s="148"/>
    </row>
    <row r="29" spans="2:8" x14ac:dyDescent="0.3">
      <c r="B29" s="146" t="s">
        <v>771</v>
      </c>
      <c r="C29" s="147"/>
      <c r="D29" s="147"/>
      <c r="E29" s="147"/>
      <c r="F29" s="147"/>
      <c r="G29" s="147"/>
      <c r="H29" s="148"/>
    </row>
    <row r="30" spans="2:8" x14ac:dyDescent="0.3">
      <c r="B30" s="146" t="s">
        <v>772</v>
      </c>
      <c r="C30" s="147"/>
      <c r="D30" s="147"/>
      <c r="E30" s="147"/>
      <c r="F30" s="147"/>
      <c r="G30" s="147"/>
      <c r="H30" s="148"/>
    </row>
    <row r="31" spans="2:8" x14ac:dyDescent="0.3">
      <c r="B31" s="146" t="s">
        <v>773</v>
      </c>
      <c r="C31" s="147"/>
      <c r="D31" s="147"/>
      <c r="E31" s="147"/>
      <c r="F31" s="147"/>
      <c r="G31" s="147"/>
      <c r="H31" s="148"/>
    </row>
    <row r="32" spans="2:8" x14ac:dyDescent="0.3">
      <c r="B32" s="146" t="s">
        <v>774</v>
      </c>
      <c r="C32" s="147"/>
      <c r="D32" s="147"/>
      <c r="E32" s="147"/>
      <c r="F32" s="147"/>
      <c r="G32" s="147"/>
      <c r="H32" s="148"/>
    </row>
    <row r="33" spans="2:8" x14ac:dyDescent="0.3">
      <c r="B33" s="146" t="s">
        <v>775</v>
      </c>
      <c r="C33" s="147"/>
      <c r="D33" s="147"/>
      <c r="E33" s="147"/>
      <c r="F33" s="147"/>
      <c r="G33" s="147"/>
      <c r="H33" s="148"/>
    </row>
    <row r="34" spans="2:8" x14ac:dyDescent="0.3">
      <c r="B34" s="146" t="s">
        <v>776</v>
      </c>
      <c r="C34" s="147"/>
      <c r="D34" s="147"/>
      <c r="E34" s="147"/>
      <c r="F34" s="147"/>
      <c r="G34" s="147"/>
      <c r="H34" s="148"/>
    </row>
    <row r="35" spans="2:8" x14ac:dyDescent="0.3">
      <c r="B35" s="146" t="s">
        <v>777</v>
      </c>
      <c r="C35" s="147"/>
      <c r="D35" s="147"/>
      <c r="E35" s="147"/>
      <c r="F35" s="147"/>
      <c r="G35" s="147"/>
      <c r="H35" s="148"/>
    </row>
    <row r="36" spans="2:8" x14ac:dyDescent="0.3">
      <c r="B36" s="146" t="s">
        <v>778</v>
      </c>
      <c r="C36" s="147"/>
      <c r="D36" s="147"/>
      <c r="E36" s="147"/>
      <c r="F36" s="147"/>
      <c r="G36" s="147"/>
      <c r="H36" s="148"/>
    </row>
    <row r="37" spans="2:8" x14ac:dyDescent="0.3">
      <c r="B37" s="140"/>
      <c r="C37" s="141"/>
      <c r="D37" s="141"/>
      <c r="E37" s="141"/>
      <c r="F37" s="141"/>
      <c r="G37" s="141"/>
      <c r="H37" s="142"/>
    </row>
    <row r="38" spans="2:8" ht="15.6" x14ac:dyDescent="0.3">
      <c r="B38" s="134" t="s">
        <v>779</v>
      </c>
      <c r="C38" s="135"/>
      <c r="D38" s="135"/>
      <c r="E38" s="135"/>
      <c r="F38" s="135"/>
      <c r="G38" s="135"/>
      <c r="H38" s="136"/>
    </row>
    <row r="39" spans="2:8" x14ac:dyDescent="0.3">
      <c r="B39" s="146" t="s">
        <v>780</v>
      </c>
      <c r="C39" s="147"/>
      <c r="D39" s="147"/>
      <c r="E39" s="147"/>
      <c r="F39" s="147"/>
      <c r="G39" s="147"/>
      <c r="H39" s="148"/>
    </row>
    <row r="40" spans="2:8" x14ac:dyDescent="0.3">
      <c r="B40" s="146" t="s">
        <v>781</v>
      </c>
      <c r="C40" s="147"/>
      <c r="D40" s="147"/>
      <c r="E40" s="147"/>
      <c r="F40" s="147"/>
      <c r="G40" s="147"/>
      <c r="H40" s="148"/>
    </row>
    <row r="41" spans="2:8" x14ac:dyDescent="0.3">
      <c r="B41" s="146" t="s">
        <v>782</v>
      </c>
      <c r="C41" s="147"/>
      <c r="D41" s="147"/>
      <c r="E41" s="147"/>
      <c r="F41" s="147"/>
      <c r="G41" s="147"/>
      <c r="H41" s="148"/>
    </row>
    <row r="42" spans="2:8" x14ac:dyDescent="0.3">
      <c r="B42" s="146" t="s">
        <v>783</v>
      </c>
      <c r="C42" s="147"/>
      <c r="D42" s="147"/>
      <c r="E42" s="147"/>
      <c r="F42" s="147"/>
      <c r="G42" s="147"/>
      <c r="H42" s="148"/>
    </row>
    <row r="43" spans="2:8" x14ac:dyDescent="0.3">
      <c r="B43" s="146" t="s">
        <v>784</v>
      </c>
      <c r="C43" s="147"/>
      <c r="D43" s="147"/>
      <c r="E43" s="147"/>
      <c r="F43" s="147"/>
      <c r="G43" s="147"/>
      <c r="H43" s="148"/>
    </row>
    <row r="44" spans="2:8" x14ac:dyDescent="0.3">
      <c r="B44" s="146" t="s">
        <v>785</v>
      </c>
      <c r="C44" s="147"/>
      <c r="D44" s="147"/>
      <c r="E44" s="147"/>
      <c r="F44" s="147"/>
      <c r="G44" s="147"/>
      <c r="H44" s="148"/>
    </row>
    <row r="45" spans="2:8" x14ac:dyDescent="0.3">
      <c r="B45" s="146" t="s">
        <v>786</v>
      </c>
      <c r="C45" s="147"/>
      <c r="D45" s="147"/>
      <c r="E45" s="147"/>
      <c r="F45" s="147"/>
      <c r="G45" s="147"/>
      <c r="H45" s="148"/>
    </row>
    <row r="46" spans="2:8" x14ac:dyDescent="0.3">
      <c r="B46" s="146" t="s">
        <v>787</v>
      </c>
      <c r="C46" s="147"/>
      <c r="D46" s="147"/>
      <c r="E46" s="147"/>
      <c r="F46" s="147"/>
      <c r="G46" s="147"/>
      <c r="H46" s="148"/>
    </row>
    <row r="47" spans="2:8" x14ac:dyDescent="0.3">
      <c r="B47" s="146" t="s">
        <v>788</v>
      </c>
      <c r="C47" s="147"/>
      <c r="D47" s="147"/>
      <c r="E47" s="147"/>
      <c r="F47" s="147"/>
      <c r="G47" s="147"/>
      <c r="H47" s="148"/>
    </row>
    <row r="48" spans="2:8" x14ac:dyDescent="0.3">
      <c r="B48" s="140"/>
      <c r="C48" s="141"/>
      <c r="D48" s="141"/>
      <c r="E48" s="141"/>
      <c r="F48" s="141"/>
      <c r="G48" s="141"/>
      <c r="H48" s="142"/>
    </row>
    <row r="49" spans="2:8" ht="15.6" x14ac:dyDescent="0.3">
      <c r="B49" s="134" t="s">
        <v>789</v>
      </c>
      <c r="C49" s="135"/>
      <c r="D49" s="135"/>
      <c r="E49" s="135"/>
      <c r="F49" s="135"/>
      <c r="G49" s="135"/>
      <c r="H49" s="136"/>
    </row>
    <row r="50" spans="2:8" x14ac:dyDescent="0.3">
      <c r="B50" s="140" t="s">
        <v>790</v>
      </c>
      <c r="C50" s="141"/>
      <c r="D50" s="141"/>
      <c r="E50" s="141"/>
      <c r="F50" s="141"/>
      <c r="G50" s="141"/>
      <c r="H50" s="142"/>
    </row>
    <row r="51" spans="2:8" x14ac:dyDescent="0.3">
      <c r="B51" s="140" t="s">
        <v>796</v>
      </c>
      <c r="C51" s="141"/>
      <c r="D51" s="141"/>
      <c r="E51" s="141"/>
      <c r="F51" s="141"/>
      <c r="G51" s="141"/>
      <c r="H51" s="142"/>
    </row>
    <row r="52" spans="2:8" x14ac:dyDescent="0.3">
      <c r="B52" s="140" t="s">
        <v>791</v>
      </c>
      <c r="C52" s="141"/>
      <c r="D52" s="141"/>
      <c r="E52" s="141"/>
      <c r="F52" s="141"/>
      <c r="G52" s="141"/>
      <c r="H52" s="142"/>
    </row>
    <row r="53" spans="2:8" x14ac:dyDescent="0.3">
      <c r="B53" s="140" t="s">
        <v>797</v>
      </c>
      <c r="C53" s="141"/>
      <c r="D53" s="141"/>
      <c r="E53" s="141"/>
      <c r="F53" s="141"/>
      <c r="G53" s="141"/>
      <c r="H53" s="142"/>
    </row>
    <row r="54" spans="2:8" x14ac:dyDescent="0.3">
      <c r="B54" s="140" t="s">
        <v>792</v>
      </c>
      <c r="C54" s="141"/>
      <c r="D54" s="141"/>
      <c r="E54" s="141"/>
      <c r="F54" s="141"/>
      <c r="G54" s="141"/>
      <c r="H54" s="142"/>
    </row>
    <row r="55" spans="2:8" x14ac:dyDescent="0.3">
      <c r="B55" s="140" t="s">
        <v>797</v>
      </c>
      <c r="C55" s="141"/>
      <c r="D55" s="141"/>
      <c r="E55" s="141"/>
      <c r="F55" s="141"/>
      <c r="G55" s="141"/>
      <c r="H55" s="142"/>
    </row>
    <row r="56" spans="2:8" x14ac:dyDescent="0.3">
      <c r="B56" s="140" t="s">
        <v>793</v>
      </c>
      <c r="C56" s="141"/>
      <c r="D56" s="141"/>
      <c r="E56" s="141"/>
      <c r="F56" s="141"/>
      <c r="G56" s="141"/>
      <c r="H56" s="142"/>
    </row>
    <row r="57" spans="2:8" x14ac:dyDescent="0.3">
      <c r="B57" s="140" t="s">
        <v>797</v>
      </c>
      <c r="C57" s="141"/>
      <c r="D57" s="141"/>
      <c r="E57" s="141"/>
      <c r="F57" s="141"/>
      <c r="G57" s="141"/>
      <c r="H57" s="142"/>
    </row>
    <row r="58" spans="2:8" x14ac:dyDescent="0.3">
      <c r="B58" s="140" t="s">
        <v>794</v>
      </c>
      <c r="C58" s="141"/>
      <c r="D58" s="141"/>
      <c r="E58" s="141"/>
      <c r="F58" s="141"/>
      <c r="G58" s="141"/>
      <c r="H58" s="142"/>
    </row>
    <row r="59" spans="2:8" x14ac:dyDescent="0.3">
      <c r="B59" s="140" t="s">
        <v>797</v>
      </c>
      <c r="C59" s="141"/>
      <c r="D59" s="141"/>
      <c r="E59" s="141"/>
      <c r="F59" s="141"/>
      <c r="G59" s="141"/>
      <c r="H59" s="142"/>
    </row>
    <row r="60" spans="2:8" x14ac:dyDescent="0.3">
      <c r="B60" s="140" t="s">
        <v>780</v>
      </c>
      <c r="C60" s="141"/>
      <c r="D60" s="141"/>
      <c r="E60" s="141"/>
      <c r="F60" s="141"/>
      <c r="G60" s="141"/>
      <c r="H60" s="142"/>
    </row>
    <row r="61" spans="2:8" x14ac:dyDescent="0.3">
      <c r="B61" s="140" t="s">
        <v>796</v>
      </c>
      <c r="C61" s="141"/>
      <c r="D61" s="141"/>
      <c r="E61" s="141"/>
      <c r="F61" s="141"/>
      <c r="G61" s="141"/>
      <c r="H61" s="142"/>
    </row>
    <row r="62" spans="2:8" x14ac:dyDescent="0.3">
      <c r="B62" s="140" t="s">
        <v>795</v>
      </c>
      <c r="C62" s="141"/>
      <c r="D62" s="141"/>
      <c r="E62" s="141"/>
      <c r="F62" s="141"/>
      <c r="G62" s="141"/>
      <c r="H62" s="142"/>
    </row>
    <row r="63" spans="2:8" x14ac:dyDescent="0.3">
      <c r="B63" s="140"/>
      <c r="C63" s="141"/>
      <c r="D63" s="141"/>
      <c r="E63" s="141"/>
      <c r="F63" s="141"/>
      <c r="G63" s="141"/>
      <c r="H63" s="142"/>
    </row>
    <row r="64" spans="2:8" ht="15.6" x14ac:dyDescent="0.3">
      <c r="B64" s="134" t="s">
        <v>798</v>
      </c>
      <c r="C64" s="135"/>
      <c r="D64" s="135"/>
      <c r="E64" s="135"/>
      <c r="F64" s="135"/>
      <c r="G64" s="135"/>
      <c r="H64" s="136"/>
    </row>
    <row r="65" spans="2:8" x14ac:dyDescent="0.3">
      <c r="B65" s="146" t="s">
        <v>799</v>
      </c>
      <c r="C65" s="147"/>
      <c r="D65" s="147"/>
      <c r="E65" s="147"/>
      <c r="F65" s="147"/>
      <c r="G65" s="147"/>
      <c r="H65" s="148"/>
    </row>
    <row r="66" spans="2:8" x14ac:dyDescent="0.3">
      <c r="B66" s="146" t="s">
        <v>754</v>
      </c>
      <c r="C66" s="147"/>
      <c r="D66" s="147"/>
      <c r="E66" s="147"/>
      <c r="F66" s="147"/>
      <c r="G66" s="147"/>
      <c r="H66" s="148"/>
    </row>
    <row r="67" spans="2:8" x14ac:dyDescent="0.3">
      <c r="B67" s="146" t="s">
        <v>755</v>
      </c>
      <c r="C67" s="147"/>
      <c r="D67" s="147"/>
      <c r="E67" s="147"/>
      <c r="F67" s="147"/>
      <c r="G67" s="147"/>
      <c r="H67" s="148"/>
    </row>
    <row r="68" spans="2:8" x14ac:dyDescent="0.3">
      <c r="B68" s="146" t="s">
        <v>756</v>
      </c>
      <c r="C68" s="147"/>
      <c r="D68" s="147"/>
      <c r="E68" s="147"/>
      <c r="F68" s="147"/>
      <c r="G68" s="147"/>
      <c r="H68" s="148"/>
    </row>
    <row r="69" spans="2:8" x14ac:dyDescent="0.3">
      <c r="B69" s="146" t="s">
        <v>757</v>
      </c>
      <c r="C69" s="147"/>
      <c r="D69" s="147"/>
      <c r="E69" s="147"/>
      <c r="F69" s="147"/>
      <c r="G69" s="147"/>
      <c r="H69" s="148"/>
    </row>
    <row r="70" spans="2:8" x14ac:dyDescent="0.3">
      <c r="B70" s="146" t="s">
        <v>758</v>
      </c>
      <c r="C70" s="147"/>
      <c r="D70" s="147"/>
      <c r="E70" s="147"/>
      <c r="F70" s="147"/>
      <c r="G70" s="147"/>
      <c r="H70" s="148"/>
    </row>
    <row r="71" spans="2:8" x14ac:dyDescent="0.3">
      <c r="B71" s="146" t="s">
        <v>759</v>
      </c>
      <c r="C71" s="147"/>
      <c r="D71" s="147"/>
      <c r="E71" s="147"/>
      <c r="F71" s="147"/>
      <c r="G71" s="147"/>
      <c r="H71" s="148"/>
    </row>
    <row r="72" spans="2:8" x14ac:dyDescent="0.3">
      <c r="B72" s="146" t="s">
        <v>760</v>
      </c>
      <c r="C72" s="147"/>
      <c r="D72" s="147"/>
      <c r="E72" s="147"/>
      <c r="F72" s="147"/>
      <c r="G72" s="147"/>
      <c r="H72" s="148"/>
    </row>
    <row r="73" spans="2:8" x14ac:dyDescent="0.3">
      <c r="B73" s="146"/>
      <c r="C73" s="147"/>
      <c r="D73" s="147"/>
      <c r="E73" s="147"/>
      <c r="F73" s="147"/>
      <c r="G73" s="147"/>
      <c r="H73" s="148"/>
    </row>
    <row r="74" spans="2:8" ht="15.6" x14ac:dyDescent="0.3">
      <c r="B74" s="134" t="s">
        <v>800</v>
      </c>
      <c r="C74" s="135"/>
      <c r="D74" s="135"/>
      <c r="E74" s="135"/>
      <c r="F74" s="135"/>
      <c r="G74" s="135"/>
      <c r="H74" s="136"/>
    </row>
    <row r="75" spans="2:8" x14ac:dyDescent="0.3">
      <c r="B75" s="146" t="s">
        <v>761</v>
      </c>
      <c r="C75" s="147"/>
      <c r="D75" s="147"/>
      <c r="E75" s="147"/>
      <c r="F75" s="147"/>
      <c r="G75" s="147"/>
      <c r="H75" s="148"/>
    </row>
    <row r="76" spans="2:8" x14ac:dyDescent="0.3">
      <c r="B76" s="146" t="s">
        <v>762</v>
      </c>
      <c r="C76" s="147"/>
      <c r="D76" s="147"/>
      <c r="E76" s="147"/>
      <c r="F76" s="147"/>
      <c r="G76" s="147"/>
      <c r="H76" s="148"/>
    </row>
    <row r="77" spans="2:8" x14ac:dyDescent="0.3">
      <c r="B77" s="146" t="s">
        <v>801</v>
      </c>
      <c r="C77" s="147"/>
      <c r="D77" s="147"/>
      <c r="E77" s="147"/>
      <c r="F77" s="147"/>
      <c r="G77" s="147"/>
      <c r="H77" s="148"/>
    </row>
    <row r="78" spans="2:8" x14ac:dyDescent="0.3">
      <c r="B78" s="146" t="s">
        <v>764</v>
      </c>
      <c r="C78" s="147"/>
      <c r="D78" s="147"/>
      <c r="E78" s="147"/>
      <c r="F78" s="147"/>
      <c r="G78" s="147"/>
      <c r="H78" s="148"/>
    </row>
    <row r="79" spans="2:8" x14ac:dyDescent="0.3">
      <c r="B79" s="146"/>
      <c r="C79" s="147"/>
      <c r="D79" s="147"/>
      <c r="E79" s="147"/>
      <c r="F79" s="147"/>
      <c r="G79" s="147"/>
      <c r="H79" s="148"/>
    </row>
    <row r="80" spans="2:8" ht="15.6" x14ac:dyDescent="0.3">
      <c r="B80" s="134" t="s">
        <v>802</v>
      </c>
      <c r="C80" s="135"/>
      <c r="D80" s="135"/>
      <c r="E80" s="135"/>
      <c r="F80" s="135"/>
      <c r="G80" s="135"/>
      <c r="H80" s="136"/>
    </row>
    <row r="81" spans="2:8" x14ac:dyDescent="0.3">
      <c r="B81" s="146" t="s">
        <v>803</v>
      </c>
      <c r="C81" s="147"/>
      <c r="D81" s="147"/>
      <c r="E81" s="147"/>
      <c r="F81" s="147"/>
      <c r="G81" s="147"/>
      <c r="H81" s="148"/>
    </row>
    <row r="82" spans="2:8" x14ac:dyDescent="0.3">
      <c r="B82" s="146" t="s">
        <v>804</v>
      </c>
      <c r="C82" s="147"/>
      <c r="D82" s="147"/>
      <c r="E82" s="147"/>
      <c r="F82" s="147"/>
      <c r="G82" s="147"/>
      <c r="H82" s="148"/>
    </row>
    <row r="83" spans="2:8" x14ac:dyDescent="0.3">
      <c r="B83" s="146" t="s">
        <v>793</v>
      </c>
      <c r="C83" s="147"/>
      <c r="D83" s="147"/>
      <c r="E83" s="147"/>
      <c r="F83" s="147"/>
      <c r="G83" s="147"/>
      <c r="H83" s="148"/>
    </row>
    <row r="84" spans="2:8" x14ac:dyDescent="0.3">
      <c r="B84" s="146" t="s">
        <v>805</v>
      </c>
      <c r="C84" s="147"/>
      <c r="D84" s="147"/>
      <c r="E84" s="147"/>
      <c r="F84" s="147"/>
      <c r="G84" s="147"/>
      <c r="H84" s="148"/>
    </row>
    <row r="85" spans="2:8" x14ac:dyDescent="0.3">
      <c r="B85" s="146" t="s">
        <v>806</v>
      </c>
      <c r="C85" s="147"/>
      <c r="D85" s="147"/>
      <c r="E85" s="147"/>
      <c r="F85" s="147"/>
      <c r="G85" s="147"/>
      <c r="H85" s="148"/>
    </row>
    <row r="86" spans="2:8" x14ac:dyDescent="0.3">
      <c r="B86" s="146" t="s">
        <v>807</v>
      </c>
      <c r="C86" s="147"/>
      <c r="D86" s="147"/>
      <c r="E86" s="147"/>
      <c r="F86" s="147"/>
      <c r="G86" s="147"/>
      <c r="H86" s="148"/>
    </row>
    <row r="87" spans="2:8" x14ac:dyDescent="0.3">
      <c r="B87" s="146" t="s">
        <v>808</v>
      </c>
      <c r="C87" s="147"/>
      <c r="D87" s="147"/>
      <c r="E87" s="147"/>
      <c r="F87" s="147"/>
      <c r="G87" s="147"/>
      <c r="H87" s="148"/>
    </row>
    <row r="88" spans="2:8" x14ac:dyDescent="0.3">
      <c r="B88" s="146" t="s">
        <v>809</v>
      </c>
      <c r="C88" s="147"/>
      <c r="D88" s="147"/>
      <c r="E88" s="147"/>
      <c r="F88" s="147"/>
      <c r="G88" s="147"/>
      <c r="H88" s="148"/>
    </row>
    <row r="89" spans="2:8" ht="15.6" x14ac:dyDescent="0.3">
      <c r="B89" s="134" t="s">
        <v>810</v>
      </c>
      <c r="C89" s="135"/>
      <c r="D89" s="135"/>
      <c r="E89" s="135"/>
      <c r="F89" s="135"/>
      <c r="G89" s="135"/>
      <c r="H89" s="136"/>
    </row>
    <row r="90" spans="2:8" x14ac:dyDescent="0.3">
      <c r="B90" s="149" t="s">
        <v>811</v>
      </c>
      <c r="C90" s="150"/>
      <c r="D90" s="150"/>
      <c r="E90" s="150"/>
      <c r="F90" s="150"/>
      <c r="G90" s="150"/>
      <c r="H90" s="151"/>
    </row>
    <row r="91" spans="2:8" x14ac:dyDescent="0.3">
      <c r="B91" s="149"/>
      <c r="C91" s="150"/>
      <c r="D91" s="150"/>
      <c r="E91" s="150"/>
      <c r="F91" s="150"/>
      <c r="G91" s="150"/>
      <c r="H91" s="151"/>
    </row>
  </sheetData>
  <mergeCells count="87">
    <mergeCell ref="B89:H89"/>
    <mergeCell ref="B90:H91"/>
    <mergeCell ref="B8:H8"/>
    <mergeCell ref="B83:H83"/>
    <mergeCell ref="B84:H84"/>
    <mergeCell ref="B85:H85"/>
    <mergeCell ref="B86:H86"/>
    <mergeCell ref="B87:H87"/>
    <mergeCell ref="B88:H88"/>
    <mergeCell ref="B77:H77"/>
    <mergeCell ref="B78:H78"/>
    <mergeCell ref="B79:H79"/>
    <mergeCell ref="B80:H80"/>
    <mergeCell ref="B81:H81"/>
    <mergeCell ref="B82:H82"/>
    <mergeCell ref="B71:H71"/>
    <mergeCell ref="B72:H72"/>
    <mergeCell ref="B73:H73"/>
    <mergeCell ref="B74:H74"/>
    <mergeCell ref="B75:H75"/>
    <mergeCell ref="B76:H76"/>
    <mergeCell ref="B70:H70"/>
    <mergeCell ref="B59:H59"/>
    <mergeCell ref="B60:H60"/>
    <mergeCell ref="B61:H61"/>
    <mergeCell ref="B62:H62"/>
    <mergeCell ref="B63:H63"/>
    <mergeCell ref="B64:H64"/>
    <mergeCell ref="B65:H65"/>
    <mergeCell ref="B66:H66"/>
    <mergeCell ref="B67:H67"/>
    <mergeCell ref="B68:H68"/>
    <mergeCell ref="B69:H69"/>
    <mergeCell ref="B58:H58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7:H57"/>
    <mergeCell ref="B46:H46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34:H34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22:H22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:H2"/>
    <mergeCell ref="B4:H4"/>
    <mergeCell ref="B5:H7"/>
    <mergeCell ref="B3:H3"/>
    <mergeCell ref="B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 MASTER DATA</vt:lpstr>
      <vt:lpstr>DAY ATTENDANCE</vt:lpstr>
      <vt:lpstr>MONTHLY ATTENDANCE SUMMARY</vt:lpstr>
      <vt:lpstr>PAYROLL</vt:lpstr>
      <vt:lpstr>SALARY SLIP</vt:lpstr>
      <vt:lpstr>PIVOTS</vt:lpstr>
      <vt:lpstr>HR MIS DASHBOARD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Yuwaraja Gnanamoorthy</cp:lastModifiedBy>
  <cp:lastPrinted>2026-07-01T05:27:11Z</cp:lastPrinted>
  <dcterms:created xsi:type="dcterms:W3CDTF">2026-06-27T08:10:34Z</dcterms:created>
  <dcterms:modified xsi:type="dcterms:W3CDTF">2026-07-01T05:56:27Z</dcterms:modified>
</cp:coreProperties>
</file>